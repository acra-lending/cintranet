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sac\OneDrive - Citadel Servicing Corp\Desktop\"/>
    </mc:Choice>
  </mc:AlternateContent>
  <xr:revisionPtr revIDLastSave="0" documentId="13_ncr:1_{AB67A3CF-8B5C-457E-9ABE-399D0BE44EBF}" xr6:coauthVersionLast="47" xr6:coauthVersionMax="47" xr10:uidLastSave="{00000000-0000-0000-0000-000000000000}"/>
  <workbookProtection workbookAlgorithmName="SHA-512" workbookHashValue="y1MAaB1IrfZbbCGXz81+I38Fm65sCSXoJklg/4isVan8SVspghT4t7zckoeemRiqkaYUxteqnP/5qBjeUVGSmQ==" workbookSaltValue="mo3ZD/VaunMVB+hUPVf+wA==" workbookSpinCount="100000" lockStructure="1"/>
  <bookViews>
    <workbookView xWindow="-120" yWindow="-120" windowWidth="29040" windowHeight="15840" xr2:uid="{00000000-000D-0000-FFFF-FFFF00000000}"/>
  </bookViews>
  <sheets>
    <sheet name="Comp. Inc." sheetId="2" r:id="rId1"/>
    <sheet name="_CI_ANN_MATRIX_" sheetId="6" state="hidden" r:id="rId2"/>
    <sheet name="_CI_LOOKUPS_" sheetId="3" state="hidden" r:id="rId3"/>
    <sheet name="_CI_LKP_VARS_" sheetId="5" state="hidden" r:id="rId4"/>
  </sheets>
  <definedNames>
    <definedName name="LKP_MONTH">OFFSET(_CI_LOOKUPS_!#REF!,1,0,COUNTA(_CI_LOOKUPS_!#REF!)-1,1)</definedName>
    <definedName name="LKP_YEAR_1">OFFSET(_CI_LOOKUPS_!$B$1,1,0,COUNTA(_CI_LOOKUPS_!$B:$B)-1,1)</definedName>
    <definedName name="LKP_YEAR_2">OFFSET(_CI_LOOKUPS_!$C$1,1,0,COUNTA(_CI_LOOKUPS_!$C:$C)-1,1)</definedName>
    <definedName name="LKP_YEAR_3">OFFSET(_CI_LOOKUPS_!$D$1,1,0,COUNTA(_CI_LOOKUPS_!$D:$D)-1,1)</definedName>
    <definedName name="_xlnm.Print_Area" localSheetId="0">'Comp. Inc.'!$A$1:$R$46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0" i="2" l="1"/>
  <c r="E30" i="2"/>
  <c r="I22" i="2"/>
  <c r="E22" i="2"/>
  <c r="M22" i="2" l="1"/>
  <c r="M30" i="2"/>
  <c r="M33" i="2"/>
  <c r="I33" i="2"/>
  <c r="E33" i="2"/>
  <c r="M27" i="2"/>
  <c r="I27" i="2"/>
  <c r="E27" i="2"/>
  <c r="M25" i="2"/>
  <c r="I25" i="2"/>
  <c r="E25" i="2"/>
  <c r="M20" i="2"/>
  <c r="I20" i="2"/>
  <c r="E20" i="2"/>
  <c r="F26" i="2" l="1"/>
  <c r="F34" i="2"/>
  <c r="P33" i="2"/>
  <c r="K32" i="2"/>
  <c r="F21" i="2"/>
  <c r="K34" i="2"/>
  <c r="K29" i="2"/>
  <c r="K26" i="2"/>
  <c r="F32" i="2"/>
  <c r="F29" i="2"/>
  <c r="K21" i="2"/>
  <c r="K33" i="2"/>
  <c r="K24" i="2"/>
  <c r="F33" i="2"/>
  <c r="F24" i="2"/>
  <c r="P27" i="2"/>
  <c r="F27" i="2"/>
  <c r="K27" i="2"/>
</calcChain>
</file>

<file path=xl/sharedStrings.xml><?xml version="1.0" encoding="utf-8"?>
<sst xmlns="http://schemas.openxmlformats.org/spreadsheetml/2006/main" count="61" uniqueCount="44">
  <si>
    <t>M</t>
  </si>
  <si>
    <t>LKP_YEAR_1</t>
  </si>
  <si>
    <t>LKP_YEAR_2</t>
  </si>
  <si>
    <t>LKP_YEAR_3</t>
  </si>
  <si>
    <t>Taxable Income</t>
  </si>
  <si>
    <t>Gross Receipt/Sales</t>
  </si>
  <si>
    <t>Returns &amp; Allowances</t>
  </si>
  <si>
    <t>Cost of Goods Sold</t>
  </si>
  <si>
    <t>Total deductions/Total expenses</t>
  </si>
  <si>
    <t>- Total expenses for Sole Proprietorship</t>
  </si>
  <si>
    <t>- Taxable Income (Loss) for Corporation</t>
  </si>
  <si>
    <t>- Net Profit (Loss) for Sole Proprietorship</t>
  </si>
  <si>
    <t>Gross Receipts/Sales</t>
  </si>
  <si>
    <t>% Change</t>
  </si>
  <si>
    <t>Gross Income</t>
  </si>
  <si>
    <t xml:space="preserve">(Gross Receipts/Sales - Returns &amp; Allowances) </t>
  </si>
  <si>
    <t xml:space="preserve">Cost of Goods Sold (CGS) </t>
  </si>
  <si>
    <t>Expenses</t>
  </si>
  <si>
    <t>(CGS + Total deductions/Total expenses)</t>
  </si>
  <si>
    <t>Gross Profits</t>
  </si>
  <si>
    <t>(Gross Receipts/Sales - Returns &amp; Allowances - CGS)</t>
  </si>
  <si>
    <t xml:space="preserve"> Comparative Income Analysis Worksheet</t>
  </si>
  <si>
    <t>*Annual % of Expenses compared to Gross Income   **Annual % of Taxable Income compared to Gross Income</t>
  </si>
  <si>
    <t>VARIABLE</t>
  </si>
  <si>
    <t>EXPLANATION</t>
  </si>
  <si>
    <t>VIRGIN_WBK</t>
  </si>
  <si>
    <t>Leftmost year drop-down.  This is also a NAMED RANGE.</t>
  </si>
  <si>
    <t>Middle year drop-down.  This is also a NAMED RANGE.</t>
  </si>
  <si>
    <t>Rightmost year drop-down.  This is also a NAMED RANGE.</t>
  </si>
  <si>
    <t>Column that states in the second cell down if this workbook is the virgin workbook or not.  A virgin workbook will ALWAYS have "Save As" functionality on close.</t>
  </si>
  <si>
    <t>- Ordinary Income (Loss) for Partnership/S Corporation</t>
  </si>
  <si>
    <t>- Total deductions for Partnership, S Corporation or Corporation</t>
  </si>
  <si>
    <t xml:space="preserve">Annualization date: </t>
  </si>
  <si>
    <t>FROM_ORIG</t>
  </si>
  <si>
    <t>TRIGGER_ANN_PROMPT</t>
  </si>
  <si>
    <t>ANNUALIZE_CELL</t>
  </si>
  <si>
    <t>CLEAR_DT_CELL</t>
  </si>
  <si>
    <t>CHECK_ALL_VALS</t>
  </si>
  <si>
    <t xml:space="preserve">Date:   </t>
  </si>
  <si>
    <t>Select the Year(s):</t>
  </si>
  <si>
    <r>
      <t>Calculating trend ratios, which compare income statement accounts from one year to the next, is an 
effective way to analyze the profitability or growth of a business.</t>
    </r>
    <r>
      <rPr>
        <b/>
        <sz val="8"/>
        <color theme="1"/>
        <rFont val="Calibri"/>
        <family val="2"/>
        <scheme val="minor"/>
      </rPr>
      <t xml:space="preserve">
</t>
    </r>
    <r>
      <rPr>
        <b/>
        <sz val="16"/>
        <color theme="1"/>
        <rFont val="Calibri"/>
        <family val="2"/>
        <scheme val="minor"/>
      </rPr>
      <t>User Tips:</t>
    </r>
    <r>
      <rPr>
        <b/>
        <sz val="11"/>
        <color theme="1"/>
        <rFont val="Calibri"/>
        <family val="2"/>
        <scheme val="minor"/>
      </rPr>
      <t xml:space="preserve">
    • Select tax year(s) from business return and enter applicable line items
    • Enter date of the YTD P&amp;L; worksheet will automatically annualize
    • YOY% Change automatically populates, eliminating need for manual calculations</t>
    </r>
    <r>
      <rPr>
        <b/>
        <sz val="8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Use of this information is discretionary.  FOLLOW INVESTOR GUIDELINES.</t>
    </r>
  </si>
  <si>
    <t>Completed by:</t>
  </si>
  <si>
    <t>Business Name:</t>
  </si>
  <si>
    <r>
      <t xml:space="preserve">Comments / Notes  </t>
    </r>
    <r>
      <rPr>
        <b/>
        <i/>
        <sz val="11"/>
        <color theme="1"/>
        <rFont val="Calibri"/>
        <family val="2"/>
        <scheme val="minor"/>
      </rPr>
      <t>(For a new line, hold Alt and press Enter)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</si>
</sst>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_);_(&quot;$&quot;* \(#,##0\);_(&quot;$&quot;* &quot;-&quot;??_);_(@_)"/>
    <numFmt numFmtId="165" formatCode="0.000"/>
    <numFmt numFmtId="166" formatCode=";;;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rgb="FF0A3A5C"/>
      <name val="Calibri"/>
      <family val="2"/>
      <scheme val="minor"/>
    </font>
    <font>
      <b/>
      <sz val="28"/>
      <color rgb="FF0A3A5C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B16FF4"/>
        <bgColor indexed="64"/>
      </patternFill>
    </fill>
    <fill>
      <patternFill patternType="solid">
        <fgColor rgb="FFB3C3FB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DEE5FF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/>
      <top/>
      <bottom style="thick">
        <color rgb="FFB16FF4"/>
      </bottom>
      <diagonal/>
    </border>
    <border>
      <left style="thick">
        <color rgb="FFB16FF4"/>
      </left>
      <right/>
      <top style="thick">
        <color rgb="FFB16FF4"/>
      </top>
      <bottom/>
      <diagonal/>
    </border>
    <border>
      <left/>
      <right/>
      <top style="thick">
        <color rgb="FFB16FF4"/>
      </top>
      <bottom/>
      <diagonal/>
    </border>
    <border>
      <left/>
      <right style="thick">
        <color rgb="FFB16FF4"/>
      </right>
      <top style="thick">
        <color rgb="FFB16FF4"/>
      </top>
      <bottom/>
      <diagonal/>
    </border>
    <border>
      <left style="thick">
        <color rgb="FFB16FF4"/>
      </left>
      <right/>
      <top/>
      <bottom style="thick">
        <color rgb="FFB16FF4"/>
      </bottom>
      <diagonal/>
    </border>
    <border>
      <left/>
      <right style="thick">
        <color rgb="FFB16FF4"/>
      </right>
      <top/>
      <bottom style="thick">
        <color rgb="FFB16FF4"/>
      </bottom>
      <diagonal/>
    </border>
    <border>
      <left style="thick">
        <color rgb="FFB16FF4"/>
      </left>
      <right/>
      <top/>
      <bottom/>
      <diagonal/>
    </border>
    <border>
      <left/>
      <right style="thick">
        <color rgb="FFB16FF4"/>
      </right>
      <top/>
      <bottom/>
      <diagonal/>
    </border>
    <border>
      <left style="thick">
        <color rgb="FFB16FF4"/>
      </left>
      <right/>
      <top style="thick">
        <color rgb="FFB16FF4"/>
      </top>
      <bottom style="thick">
        <color rgb="FFB16FF4"/>
      </bottom>
      <diagonal/>
    </border>
    <border>
      <left/>
      <right/>
      <top style="thick">
        <color rgb="FFB16FF4"/>
      </top>
      <bottom style="thick">
        <color rgb="FFB16FF4"/>
      </bottom>
      <diagonal/>
    </border>
    <border>
      <left/>
      <right style="thick">
        <color rgb="FFB16FF4"/>
      </right>
      <top style="thick">
        <color rgb="FFB16FF4"/>
      </top>
      <bottom style="thick">
        <color rgb="FFB16FF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16FF4"/>
      </left>
      <right/>
      <top style="thin">
        <color rgb="FFB16FF4"/>
      </top>
      <bottom/>
      <diagonal/>
    </border>
    <border>
      <left/>
      <right/>
      <top style="thin">
        <color rgb="FFB16FF4"/>
      </top>
      <bottom/>
      <diagonal/>
    </border>
    <border>
      <left/>
      <right style="thin">
        <color rgb="FFB16FF4"/>
      </right>
      <top style="thin">
        <color rgb="FFB16FF4"/>
      </top>
      <bottom/>
      <diagonal/>
    </border>
    <border>
      <left style="thin">
        <color rgb="FFB16FF4"/>
      </left>
      <right/>
      <top/>
      <bottom/>
      <diagonal/>
    </border>
    <border>
      <left/>
      <right style="thin">
        <color rgb="FFB16FF4"/>
      </right>
      <top/>
      <bottom/>
      <diagonal/>
    </border>
    <border>
      <left style="thin">
        <color rgb="FFB16FF4"/>
      </left>
      <right/>
      <top/>
      <bottom style="thin">
        <color rgb="FFB16FF4"/>
      </bottom>
      <diagonal/>
    </border>
    <border>
      <left/>
      <right/>
      <top/>
      <bottom style="thin">
        <color rgb="FFB16FF4"/>
      </bottom>
      <diagonal/>
    </border>
    <border>
      <left/>
      <right style="thin">
        <color rgb="FFB16FF4"/>
      </right>
      <top/>
      <bottom style="thin">
        <color rgb="FFB16FF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98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Protection="1"/>
    <xf numFmtId="0" fontId="0" fillId="0" borderId="0" xfId="0" applyProtection="1"/>
    <xf numFmtId="0" fontId="0" fillId="0" borderId="0" xfId="0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1" fillId="0" borderId="0" xfId="0" applyFont="1" applyFill="1" applyBorder="1" applyAlignment="1" applyProtection="1">
      <alignment vertical="center"/>
    </xf>
    <xf numFmtId="0" fontId="1" fillId="0" borderId="0" xfId="0" quotePrefix="1" applyFont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4" fillId="0" borderId="0" xfId="0" quotePrefix="1" applyFont="1" applyAlignment="1">
      <alignment horizontal="left" vertical="center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1" fillId="0" borderId="0" xfId="0" quotePrefix="1" applyFont="1" applyBorder="1" applyAlignment="1" applyProtection="1">
      <alignment horizontal="center" vertical="center"/>
    </xf>
    <xf numFmtId="0" fontId="1" fillId="0" borderId="0" xfId="0" quotePrefix="1" applyFont="1" applyBorder="1" applyAlignment="1" applyProtection="1">
      <alignment horizontal="left" vertical="center"/>
    </xf>
    <xf numFmtId="0" fontId="1" fillId="0" borderId="0" xfId="0" applyFont="1" applyFill="1" applyBorder="1" applyAlignment="1" applyProtection="1">
      <alignment horizontal="left" vertical="center"/>
    </xf>
    <xf numFmtId="0" fontId="1" fillId="0" borderId="0" xfId="0" quotePrefix="1" applyFont="1" applyFill="1" applyBorder="1" applyAlignment="1" applyProtection="1">
      <alignment horizontal="left" vertical="center"/>
    </xf>
    <xf numFmtId="164" fontId="1" fillId="0" borderId="0" xfId="0" applyNumberFormat="1" applyFont="1" applyFill="1" applyBorder="1" applyAlignment="1" applyProtection="1">
      <alignment vertical="center"/>
    </xf>
    <xf numFmtId="0" fontId="3" fillId="0" borderId="4" xfId="0" quotePrefix="1" applyFont="1" applyFill="1" applyBorder="1" applyProtection="1"/>
    <xf numFmtId="0" fontId="3" fillId="0" borderId="4" xfId="0" applyFont="1" applyFill="1" applyBorder="1" applyProtection="1"/>
    <xf numFmtId="0" fontId="2" fillId="0" borderId="4" xfId="0" applyFont="1" applyFill="1" applyBorder="1" applyProtection="1"/>
    <xf numFmtId="0" fontId="2" fillId="0" borderId="4" xfId="0" applyFont="1" applyFill="1" applyBorder="1" applyAlignment="1" applyProtection="1">
      <alignment horizontal="center"/>
    </xf>
    <xf numFmtId="0" fontId="0" fillId="0" borderId="5" xfId="0" applyFill="1" applyBorder="1" applyAlignment="1" applyProtection="1">
      <alignment vertical="center"/>
    </xf>
    <xf numFmtId="0" fontId="1" fillId="0" borderId="6" xfId="0" quotePrefix="1" applyFont="1" applyFill="1" applyBorder="1" applyAlignment="1" applyProtection="1">
      <alignment horizontal="left" vertical="center"/>
    </xf>
    <xf numFmtId="0" fontId="1" fillId="0" borderId="6" xfId="0" applyFont="1" applyFill="1" applyBorder="1" applyAlignment="1" applyProtection="1">
      <alignment horizontal="left" vertical="center"/>
    </xf>
    <xf numFmtId="0" fontId="1" fillId="0" borderId="6" xfId="0" applyFont="1" applyFill="1" applyBorder="1" applyAlignment="1" applyProtection="1">
      <alignment vertical="center"/>
    </xf>
    <xf numFmtId="0" fontId="0" fillId="0" borderId="6" xfId="0" applyFill="1" applyBorder="1" applyAlignment="1" applyProtection="1">
      <alignment vertical="center"/>
    </xf>
    <xf numFmtId="0" fontId="0" fillId="0" borderId="7" xfId="0" applyFill="1" applyBorder="1" applyAlignment="1" applyProtection="1">
      <alignment vertical="center"/>
    </xf>
    <xf numFmtId="0" fontId="0" fillId="0" borderId="8" xfId="0" applyFill="1" applyBorder="1" applyAlignment="1" applyProtection="1">
      <alignment vertical="center"/>
    </xf>
    <xf numFmtId="0" fontId="1" fillId="0" borderId="4" xfId="0" quotePrefix="1" applyFont="1" applyFill="1" applyBorder="1" applyAlignment="1" applyProtection="1">
      <alignment horizontal="left" vertical="center"/>
    </xf>
    <xf numFmtId="0" fontId="1" fillId="0" borderId="4" xfId="0" applyFont="1" applyFill="1" applyBorder="1" applyAlignment="1" applyProtection="1">
      <alignment horizontal="left" vertical="center"/>
    </xf>
    <xf numFmtId="0" fontId="1" fillId="0" borderId="4" xfId="0" applyFont="1" applyFill="1" applyBorder="1" applyAlignment="1" applyProtection="1">
      <alignment vertical="center"/>
    </xf>
    <xf numFmtId="0" fontId="0" fillId="0" borderId="4" xfId="0" applyFill="1" applyBorder="1" applyAlignment="1" applyProtection="1">
      <alignment vertical="center"/>
    </xf>
    <xf numFmtId="0" fontId="0" fillId="0" borderId="9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/>
    </xf>
    <xf numFmtId="0" fontId="0" fillId="0" borderId="0" xfId="0" applyBorder="1" applyProtection="1"/>
    <xf numFmtId="0" fontId="0" fillId="0" borderId="0" xfId="0" applyBorder="1"/>
    <xf numFmtId="0" fontId="0" fillId="0" borderId="0" xfId="0" applyBorder="1" applyAlignment="1">
      <alignment vertical="center"/>
    </xf>
    <xf numFmtId="0" fontId="0" fillId="0" borderId="0" xfId="0" applyBorder="1" applyAlignment="1" applyProtection="1">
      <alignment horizontal="left" vertical="center"/>
    </xf>
    <xf numFmtId="0" fontId="4" fillId="0" borderId="0" xfId="0" quotePrefix="1" applyFont="1" applyBorder="1" applyAlignment="1">
      <alignment horizontal="left" vertical="center"/>
    </xf>
    <xf numFmtId="0" fontId="0" fillId="0" borderId="0" xfId="0" applyProtection="1">
      <protection locked="0"/>
    </xf>
    <xf numFmtId="164" fontId="1" fillId="0" borderId="6" xfId="0" applyNumberFormat="1" applyFont="1" applyFill="1" applyBorder="1" applyAlignment="1" applyProtection="1">
      <alignment horizontal="left" vertical="center" indent="12"/>
    </xf>
    <xf numFmtId="164" fontId="1" fillId="0" borderId="6" xfId="0" quotePrefix="1" applyNumberFormat="1" applyFont="1" applyFill="1" applyBorder="1" applyAlignment="1" applyProtection="1">
      <alignment horizontal="left" vertical="center" indent="12"/>
    </xf>
    <xf numFmtId="0" fontId="0" fillId="2" borderId="12" xfId="0" applyFill="1" applyBorder="1" applyAlignment="1" applyProtection="1">
      <alignment vertical="center"/>
    </xf>
    <xf numFmtId="0" fontId="1" fillId="2" borderId="14" xfId="0" applyFont="1" applyFill="1" applyBorder="1" applyAlignment="1" applyProtection="1">
      <alignment vertical="center"/>
    </xf>
    <xf numFmtId="165" fontId="0" fillId="0" borderId="0" xfId="0" applyNumberFormat="1" applyAlignment="1">
      <alignment vertical="center"/>
    </xf>
    <xf numFmtId="0" fontId="1" fillId="0" borderId="15" xfId="0" applyFont="1" applyBorder="1" applyAlignment="1" applyProtection="1">
      <alignment vertical="center"/>
    </xf>
    <xf numFmtId="0" fontId="1" fillId="0" borderId="16" xfId="0" applyFont="1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0" fontId="0" fillId="0" borderId="17" xfId="0" applyBorder="1" applyAlignment="1" applyProtection="1">
      <alignment vertical="center"/>
    </xf>
    <xf numFmtId="0" fontId="6" fillId="0" borderId="18" xfId="0" quotePrefix="1" applyFont="1" applyFill="1" applyBorder="1" applyAlignment="1" applyProtection="1">
      <alignment vertical="center"/>
      <protection locked="0"/>
    </xf>
    <xf numFmtId="0" fontId="6" fillId="0" borderId="19" xfId="0" quotePrefix="1" applyFont="1" applyFill="1" applyBorder="1" applyAlignment="1" applyProtection="1">
      <alignment vertical="center"/>
      <protection locked="0"/>
    </xf>
    <xf numFmtId="0" fontId="0" fillId="0" borderId="20" xfId="0" applyBorder="1" applyProtection="1"/>
    <xf numFmtId="0" fontId="0" fillId="0" borderId="21" xfId="0" applyBorder="1" applyProtection="1"/>
    <xf numFmtId="0" fontId="0" fillId="0" borderId="22" xfId="0" applyBorder="1" applyProtection="1"/>
    <xf numFmtId="0" fontId="1" fillId="0" borderId="16" xfId="0" applyFont="1" applyBorder="1" applyAlignment="1" applyProtection="1">
      <alignment horizontal="right" vertical="center"/>
    </xf>
    <xf numFmtId="0" fontId="0" fillId="0" borderId="0" xfId="0" quotePrefix="1" applyBorder="1"/>
    <xf numFmtId="0" fontId="8" fillId="2" borderId="13" xfId="0" applyFont="1" applyFill="1" applyBorder="1" applyAlignment="1" applyProtection="1">
      <alignment vertical="center"/>
      <protection locked="0"/>
    </xf>
    <xf numFmtId="0" fontId="7" fillId="2" borderId="13" xfId="0" applyFont="1" applyFill="1" applyBorder="1" applyAlignment="1" applyProtection="1">
      <alignment horizontal="right" vertical="center" indent="1"/>
    </xf>
    <xf numFmtId="0" fontId="0" fillId="2" borderId="13" xfId="0" applyFill="1" applyBorder="1" applyProtection="1"/>
    <xf numFmtId="0" fontId="0" fillId="2" borderId="14" xfId="0" applyFill="1" applyBorder="1" applyProtection="1"/>
    <xf numFmtId="0" fontId="7" fillId="2" borderId="13" xfId="0" applyFont="1" applyFill="1" applyBorder="1" applyAlignment="1" applyProtection="1">
      <alignment horizontal="right" vertical="center"/>
    </xf>
    <xf numFmtId="14" fontId="8" fillId="3" borderId="13" xfId="0" applyNumberFormat="1" applyFont="1" applyFill="1" applyBorder="1" applyAlignment="1" applyProtection="1">
      <alignment horizontal="center" vertical="center"/>
      <protection locked="0"/>
    </xf>
    <xf numFmtId="0" fontId="8" fillId="3" borderId="13" xfId="0" applyFont="1" applyFill="1" applyBorder="1" applyAlignment="1" applyProtection="1">
      <alignment horizontal="center" vertical="center"/>
      <protection locked="0"/>
    </xf>
    <xf numFmtId="0" fontId="6" fillId="5" borderId="23" xfId="0" quotePrefix="1" applyFont="1" applyFill="1" applyBorder="1" applyAlignment="1" applyProtection="1">
      <alignment horizontal="left" vertical="top" wrapText="1" indent="1"/>
      <protection locked="0"/>
    </xf>
    <xf numFmtId="0" fontId="6" fillId="5" borderId="24" xfId="0" quotePrefix="1" applyFont="1" applyFill="1" applyBorder="1" applyAlignment="1" applyProtection="1">
      <alignment horizontal="left" vertical="top" wrapText="1" indent="1"/>
      <protection locked="0"/>
    </xf>
    <xf numFmtId="0" fontId="6" fillId="5" borderId="25" xfId="0" quotePrefix="1" applyFont="1" applyFill="1" applyBorder="1" applyAlignment="1" applyProtection="1">
      <alignment horizontal="left" vertical="top" wrapText="1" indent="1"/>
      <protection locked="0"/>
    </xf>
    <xf numFmtId="0" fontId="6" fillId="5" borderId="26" xfId="0" quotePrefix="1" applyFont="1" applyFill="1" applyBorder="1" applyAlignment="1" applyProtection="1">
      <alignment horizontal="left" vertical="top" wrapText="1" indent="1"/>
      <protection locked="0"/>
    </xf>
    <xf numFmtId="0" fontId="6" fillId="5" borderId="0" xfId="0" quotePrefix="1" applyFont="1" applyFill="1" applyBorder="1" applyAlignment="1" applyProtection="1">
      <alignment horizontal="left" vertical="top" wrapText="1" indent="1"/>
      <protection locked="0"/>
    </xf>
    <xf numFmtId="0" fontId="6" fillId="5" borderId="27" xfId="0" quotePrefix="1" applyFont="1" applyFill="1" applyBorder="1" applyAlignment="1" applyProtection="1">
      <alignment horizontal="left" vertical="top" wrapText="1" indent="1"/>
      <protection locked="0"/>
    </xf>
    <xf numFmtId="0" fontId="6" fillId="5" borderId="28" xfId="0" quotePrefix="1" applyFont="1" applyFill="1" applyBorder="1" applyAlignment="1" applyProtection="1">
      <alignment horizontal="left" vertical="top" wrapText="1" indent="1"/>
      <protection locked="0"/>
    </xf>
    <xf numFmtId="0" fontId="6" fillId="5" borderId="29" xfId="0" quotePrefix="1" applyFont="1" applyFill="1" applyBorder="1" applyAlignment="1" applyProtection="1">
      <alignment horizontal="left" vertical="top" wrapText="1" indent="1"/>
      <protection locked="0"/>
    </xf>
    <xf numFmtId="0" fontId="6" fillId="5" borderId="30" xfId="0" quotePrefix="1" applyFont="1" applyFill="1" applyBorder="1" applyAlignment="1" applyProtection="1">
      <alignment horizontal="left" vertical="top" wrapText="1" indent="1"/>
      <protection locked="0"/>
    </xf>
    <xf numFmtId="9" fontId="1" fillId="0" borderId="4" xfId="1" quotePrefix="1" applyFont="1" applyFill="1" applyBorder="1" applyAlignment="1" applyProtection="1">
      <alignment horizontal="center" vertical="center"/>
    </xf>
    <xf numFmtId="164" fontId="1" fillId="0" borderId="6" xfId="0" applyNumberFormat="1" applyFont="1" applyFill="1" applyBorder="1" applyAlignment="1" applyProtection="1">
      <alignment horizontal="center" vertical="center"/>
    </xf>
    <xf numFmtId="0" fontId="1" fillId="0" borderId="6" xfId="0" applyFont="1" applyFill="1" applyBorder="1" applyAlignment="1" applyProtection="1">
      <alignment horizontal="center" vertical="center"/>
    </xf>
    <xf numFmtId="9" fontId="1" fillId="0" borderId="4" xfId="1" applyFont="1" applyFill="1" applyBorder="1" applyAlignment="1" applyProtection="1">
      <alignment horizontal="center" vertical="center"/>
    </xf>
    <xf numFmtId="164" fontId="1" fillId="0" borderId="6" xfId="0" applyNumberFormat="1" applyFont="1" applyFill="1" applyBorder="1" applyAlignment="1" applyProtection="1">
      <alignment horizontal="left" vertical="center" indent="2"/>
    </xf>
    <xf numFmtId="0" fontId="1" fillId="0" borderId="6" xfId="0" applyFont="1" applyFill="1" applyBorder="1" applyAlignment="1" applyProtection="1">
      <alignment horizontal="left" vertical="center" indent="2"/>
    </xf>
    <xf numFmtId="0" fontId="1" fillId="0" borderId="7" xfId="0" applyFont="1" applyFill="1" applyBorder="1" applyAlignment="1" applyProtection="1">
      <alignment horizontal="center" vertical="center"/>
    </xf>
    <xf numFmtId="0" fontId="1" fillId="0" borderId="4" xfId="0" applyFont="1" applyFill="1" applyBorder="1" applyAlignment="1" applyProtection="1">
      <alignment horizontal="center" vertical="center"/>
    </xf>
    <xf numFmtId="9" fontId="1" fillId="0" borderId="6" xfId="1" quotePrefix="1" applyFont="1" applyFill="1" applyBorder="1" applyAlignment="1" applyProtection="1">
      <alignment horizontal="center" vertical="center"/>
    </xf>
    <xf numFmtId="0" fontId="1" fillId="0" borderId="4" xfId="0" quotePrefix="1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left" vertical="center" wrapText="1" indent="1"/>
    </xf>
    <xf numFmtId="0" fontId="1" fillId="4" borderId="0" xfId="0" applyFont="1" applyFill="1" applyAlignment="1" applyProtection="1">
      <alignment horizontal="left" vertical="center" indent="1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4" fontId="1" fillId="5" borderId="2" xfId="0" applyNumberFormat="1" applyFont="1" applyFill="1" applyBorder="1" applyAlignment="1" applyProtection="1">
      <alignment horizontal="center" vertical="center"/>
      <protection locked="0"/>
    </xf>
    <xf numFmtId="164" fontId="1" fillId="5" borderId="3" xfId="0" applyNumberFormat="1" applyFont="1" applyFill="1" applyBorder="1" applyAlignment="1" applyProtection="1">
      <alignment horizontal="center" vertical="center"/>
      <protection locked="0"/>
    </xf>
    <xf numFmtId="0" fontId="8" fillId="3" borderId="13" xfId="0" applyFont="1" applyFill="1" applyBorder="1" applyAlignment="1" applyProtection="1">
      <alignment horizontal="left" vertical="center" indent="1"/>
      <protection locked="0"/>
    </xf>
    <xf numFmtId="0" fontId="7" fillId="2" borderId="13" xfId="0" applyFont="1" applyFill="1" applyBorder="1" applyAlignment="1" applyProtection="1">
      <alignment horizontal="right" vertical="center"/>
      <protection locked="0"/>
    </xf>
    <xf numFmtId="14" fontId="7" fillId="2" borderId="13" xfId="0" applyNumberFormat="1" applyFont="1" applyFill="1" applyBorder="1" applyAlignment="1" applyProtection="1">
      <alignment horizontal="center" vertical="center"/>
    </xf>
    <xf numFmtId="0" fontId="7" fillId="2" borderId="13" xfId="0" applyFont="1" applyFill="1" applyBorder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right" vertical="center"/>
    </xf>
    <xf numFmtId="166" fontId="7" fillId="2" borderId="13" xfId="0" applyNumberFormat="1" applyFont="1" applyFill="1" applyBorder="1" applyAlignment="1" applyProtection="1">
      <alignment horizontal="right" vertical="center"/>
    </xf>
    <xf numFmtId="0" fontId="7" fillId="2" borderId="13" xfId="0" applyNumberFormat="1" applyFont="1" applyFill="1" applyBorder="1" applyAlignment="1" applyProtection="1">
      <alignment horizontal="right" vertical="center"/>
    </xf>
    <xf numFmtId="164" fontId="1" fillId="5" borderId="0" xfId="0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B16FF4"/>
      <color rgb="FFB3C3FB"/>
      <color rgb="FFDEE5FF"/>
      <color rgb="FFE2E2E2"/>
      <color rgb="FF4BADB6"/>
      <color rgb="FFCCFFFF"/>
      <color rgb="FFFF6600"/>
      <color rgb="FF41719C"/>
      <color rgb="FF0A3A5C"/>
      <color rgb="FFACD2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194086</xdr:colOff>
      <xdr:row>0</xdr:row>
      <xdr:rowOff>108585</xdr:rowOff>
    </xdr:from>
    <xdr:to>
      <xdr:col>15</xdr:col>
      <xdr:colOff>613304</xdr:colOff>
      <xdr:row>0</xdr:row>
      <xdr:rowOff>432435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5266" y="108585"/>
          <a:ext cx="1082158" cy="323850"/>
        </a:xfrm>
        <a:prstGeom prst="rect">
          <a:avLst/>
        </a:prstGeom>
      </xdr:spPr>
    </xdr:pic>
    <xdr:clientData/>
  </xdr:twoCellAnchor>
  <xdr:twoCellAnchor>
    <xdr:from>
      <xdr:col>7</xdr:col>
      <xdr:colOff>50321</xdr:colOff>
      <xdr:row>6</xdr:row>
      <xdr:rowOff>100641</xdr:rowOff>
    </xdr:from>
    <xdr:to>
      <xdr:col>7</xdr:col>
      <xdr:colOff>172528</xdr:colOff>
      <xdr:row>6</xdr:row>
      <xdr:rowOff>237226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8698" y="3062377"/>
          <a:ext cx="122207" cy="136585"/>
        </a:xfrm>
        <a:prstGeom prst="rightArrow">
          <a:avLst/>
        </a:prstGeom>
        <a:solidFill>
          <a:srgbClr val="B3C3FB"/>
        </a:solidFill>
        <a:ln>
          <a:solidFill>
            <a:srgbClr val="B16FF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W47"/>
  <sheetViews>
    <sheetView showGridLines="0" tabSelected="1" zoomScaleNormal="100"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2" width="2.28515625" customWidth="1"/>
    <col min="3" max="3" width="17.5703125" customWidth="1"/>
    <col min="4" max="4" width="7.7109375" customWidth="1"/>
    <col min="5" max="5" width="43.7109375" customWidth="1"/>
    <col min="6" max="7" width="8.28515625" customWidth="1"/>
    <col min="8" max="8" width="3.42578125" customWidth="1"/>
    <col min="9" max="10" width="9.7109375" customWidth="1"/>
    <col min="11" max="11" width="2.7109375" customWidth="1"/>
    <col min="12" max="13" width="9.7109375" customWidth="1"/>
    <col min="14" max="14" width="2.7109375" customWidth="1"/>
    <col min="15" max="16" width="9.7109375" customWidth="1"/>
    <col min="17" max="17" width="1.7109375" customWidth="1"/>
    <col min="18" max="18" width="2.7109375" customWidth="1"/>
    <col min="19" max="19" width="3.7109375" customWidth="1"/>
    <col min="20" max="20" width="27.5703125" customWidth="1"/>
    <col min="21" max="24" width="3.7109375" customWidth="1"/>
  </cols>
  <sheetData>
    <row r="1" spans="1:20" s="1" customFormat="1" ht="40.15" customHeight="1" thickBot="1" x14ac:dyDescent="0.6">
      <c r="A1" s="4"/>
      <c r="B1" s="19" t="s">
        <v>21</v>
      </c>
      <c r="C1" s="20"/>
      <c r="D1" s="20"/>
      <c r="E1" s="21"/>
      <c r="F1" s="21"/>
      <c r="G1" s="21"/>
      <c r="H1" s="22"/>
      <c r="I1" s="22"/>
      <c r="J1" s="22"/>
      <c r="K1" s="21"/>
      <c r="L1" s="21"/>
      <c r="M1" s="21"/>
      <c r="N1" s="21"/>
      <c r="O1" s="21"/>
      <c r="P1" s="21"/>
      <c r="Q1" s="21"/>
    </row>
    <row r="2" spans="1:20" ht="4.1500000000000004" hidden="1" customHeight="1" thickTop="1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20" ht="137.44999999999999" customHeight="1" thickTop="1" thickBot="1" x14ac:dyDescent="0.3">
      <c r="A3" s="5"/>
      <c r="B3" s="85" t="s">
        <v>40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</row>
    <row r="4" spans="1:20" ht="22.9" customHeight="1" thickTop="1" thickBot="1" x14ac:dyDescent="0.3">
      <c r="A4" s="5"/>
      <c r="B4" s="45"/>
      <c r="C4" s="60" t="s">
        <v>42</v>
      </c>
      <c r="D4" s="90"/>
      <c r="E4" s="90"/>
      <c r="F4" s="90"/>
      <c r="G4" s="63" t="s">
        <v>38</v>
      </c>
      <c r="H4" s="63"/>
      <c r="I4" s="64"/>
      <c r="J4" s="65"/>
      <c r="K4" s="61"/>
      <c r="L4" s="61"/>
      <c r="M4" s="61"/>
      <c r="N4" s="61"/>
      <c r="O4" s="61"/>
      <c r="P4" s="61"/>
      <c r="Q4" s="62"/>
    </row>
    <row r="5" spans="1:20" s="2" customFormat="1" ht="21" customHeight="1" thickTop="1" thickBot="1" x14ac:dyDescent="0.3">
      <c r="A5" s="6"/>
      <c r="B5" s="45"/>
      <c r="C5" s="60" t="s">
        <v>41</v>
      </c>
      <c r="D5" s="90"/>
      <c r="E5" s="90"/>
      <c r="F5" s="90"/>
      <c r="G5" s="91"/>
      <c r="H5" s="91"/>
      <c r="I5" s="63"/>
      <c r="J5" s="63"/>
      <c r="K5" s="59"/>
      <c r="L5" s="95" t="s">
        <v>32</v>
      </c>
      <c r="M5" s="96"/>
      <c r="N5" s="96"/>
      <c r="O5" s="92"/>
      <c r="P5" s="93"/>
      <c r="Q5" s="46"/>
    </row>
    <row r="6" spans="1:20" s="2" customFormat="1" ht="6.75" customHeight="1" thickTop="1" x14ac:dyDescent="0.25">
      <c r="A6" s="6"/>
      <c r="B6" s="7"/>
      <c r="C6" s="14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7"/>
      <c r="Q6" s="7"/>
    </row>
    <row r="7" spans="1:20" s="2" customFormat="1" ht="24" customHeight="1" thickBot="1" x14ac:dyDescent="0.3">
      <c r="A7" s="6"/>
      <c r="B7" s="7"/>
      <c r="C7" s="15"/>
      <c r="D7" s="16"/>
      <c r="E7" s="16"/>
      <c r="F7" s="94" t="s">
        <v>39</v>
      </c>
      <c r="G7" s="94"/>
      <c r="H7" s="8"/>
      <c r="I7" s="87"/>
      <c r="J7" s="87"/>
      <c r="K7" s="8"/>
      <c r="L7" s="87"/>
      <c r="M7" s="87"/>
      <c r="N7" s="8"/>
      <c r="O7" s="87"/>
      <c r="P7" s="87"/>
      <c r="Q7" s="13"/>
    </row>
    <row r="8" spans="1:20" s="2" customFormat="1" ht="24" customHeight="1" thickTop="1" thickBot="1" x14ac:dyDescent="0.3">
      <c r="A8" s="6"/>
      <c r="B8" s="7"/>
      <c r="C8" s="15" t="s">
        <v>5</v>
      </c>
      <c r="D8" s="16"/>
      <c r="E8" s="16"/>
      <c r="F8" s="16"/>
      <c r="G8" s="16"/>
      <c r="H8" s="8"/>
      <c r="I8" s="88"/>
      <c r="J8" s="88"/>
      <c r="K8" s="8"/>
      <c r="L8" s="88"/>
      <c r="M8" s="88"/>
      <c r="N8" s="8"/>
      <c r="O8" s="88"/>
      <c r="P8" s="88"/>
      <c r="Q8" s="7"/>
    </row>
    <row r="9" spans="1:20" s="2" customFormat="1" ht="24" customHeight="1" thickTop="1" thickBot="1" x14ac:dyDescent="0.3">
      <c r="A9" s="6"/>
      <c r="B9" s="7"/>
      <c r="C9" s="15" t="s">
        <v>6</v>
      </c>
      <c r="D9" s="16"/>
      <c r="E9" s="16"/>
      <c r="F9" s="16"/>
      <c r="G9" s="16"/>
      <c r="H9" s="8"/>
      <c r="I9" s="88"/>
      <c r="J9" s="88"/>
      <c r="K9" s="8"/>
      <c r="L9" s="88"/>
      <c r="M9" s="88"/>
      <c r="N9" s="8"/>
      <c r="O9" s="88"/>
      <c r="P9" s="88"/>
      <c r="Q9" s="7"/>
    </row>
    <row r="10" spans="1:20" s="2" customFormat="1" ht="24" customHeight="1" thickTop="1" thickBot="1" x14ac:dyDescent="0.3">
      <c r="A10" s="6"/>
      <c r="B10" s="7"/>
      <c r="C10" s="15" t="s">
        <v>7</v>
      </c>
      <c r="D10" s="16"/>
      <c r="E10" s="16"/>
      <c r="F10" s="16"/>
      <c r="G10" s="16"/>
      <c r="H10" s="8"/>
      <c r="I10" s="88"/>
      <c r="J10" s="88"/>
      <c r="K10" s="8"/>
      <c r="L10" s="88"/>
      <c r="M10" s="88"/>
      <c r="N10" s="8"/>
      <c r="O10" s="88"/>
      <c r="P10" s="88"/>
      <c r="Q10" s="7"/>
      <c r="T10" s="47"/>
    </row>
    <row r="11" spans="1:20" s="2" customFormat="1" ht="24" customHeight="1" thickTop="1" x14ac:dyDescent="0.25">
      <c r="A11" s="6"/>
      <c r="B11" s="7"/>
      <c r="C11" s="15" t="s">
        <v>8</v>
      </c>
      <c r="D11" s="16"/>
      <c r="E11" s="16"/>
      <c r="F11" s="16"/>
      <c r="G11" s="16"/>
      <c r="H11" s="8"/>
      <c r="I11" s="89"/>
      <c r="J11" s="89"/>
      <c r="K11" s="8"/>
      <c r="L11" s="89"/>
      <c r="M11" s="89"/>
      <c r="N11" s="8"/>
      <c r="O11" s="89"/>
      <c r="P11" s="89"/>
      <c r="Q11" s="7"/>
    </row>
    <row r="12" spans="1:20" s="2" customFormat="1" ht="17.45" customHeight="1" x14ac:dyDescent="0.25">
      <c r="A12" s="6"/>
      <c r="B12" s="7"/>
      <c r="C12" s="15" t="s">
        <v>31</v>
      </c>
      <c r="D12" s="16"/>
      <c r="E12" s="16"/>
      <c r="F12" s="16"/>
      <c r="G12" s="16"/>
      <c r="H12" s="8"/>
      <c r="I12" s="8"/>
      <c r="J12" s="8"/>
      <c r="K12" s="8"/>
      <c r="L12" s="8"/>
      <c r="M12" s="8"/>
      <c r="N12" s="8"/>
      <c r="O12" s="8"/>
      <c r="P12" s="7"/>
      <c r="Q12" s="7"/>
    </row>
    <row r="13" spans="1:20" s="2" customFormat="1" ht="17.45" customHeight="1" x14ac:dyDescent="0.25">
      <c r="A13" s="6"/>
      <c r="B13" s="7"/>
      <c r="C13" s="15" t="s">
        <v>9</v>
      </c>
      <c r="D13" s="16"/>
      <c r="E13" s="16"/>
      <c r="F13" s="16"/>
      <c r="G13" s="16"/>
      <c r="H13" s="8"/>
      <c r="I13" s="8"/>
      <c r="J13" s="8"/>
      <c r="K13" s="8"/>
      <c r="L13" s="8"/>
      <c r="M13" s="8"/>
      <c r="N13" s="8"/>
      <c r="O13" s="8"/>
      <c r="P13" s="7"/>
      <c r="Q13" s="7"/>
    </row>
    <row r="14" spans="1:20" s="2" customFormat="1" ht="24" customHeight="1" x14ac:dyDescent="0.25">
      <c r="A14" s="6"/>
      <c r="B14" s="7"/>
      <c r="C14" s="15"/>
      <c r="D14" s="16"/>
      <c r="E14" s="16"/>
      <c r="F14" s="16"/>
      <c r="G14" s="16"/>
      <c r="H14" s="8"/>
      <c r="I14" s="8"/>
      <c r="J14" s="8"/>
      <c r="K14" s="8"/>
      <c r="L14" s="8"/>
      <c r="M14" s="8"/>
      <c r="N14" s="8"/>
      <c r="O14" s="8"/>
      <c r="P14" s="7"/>
      <c r="Q14" s="7"/>
    </row>
    <row r="15" spans="1:20" s="2" customFormat="1" ht="24" customHeight="1" x14ac:dyDescent="0.25">
      <c r="A15" s="6"/>
      <c r="B15" s="7"/>
      <c r="C15" s="15" t="s">
        <v>4</v>
      </c>
      <c r="D15" s="16"/>
      <c r="E15" s="16"/>
      <c r="F15" s="16"/>
      <c r="G15" s="16"/>
      <c r="H15" s="8"/>
      <c r="I15" s="97"/>
      <c r="J15" s="97"/>
      <c r="K15" s="18"/>
      <c r="L15" s="97"/>
      <c r="M15" s="97"/>
      <c r="N15" s="18"/>
      <c r="O15" s="97"/>
      <c r="P15" s="97"/>
      <c r="Q15" s="7"/>
    </row>
    <row r="16" spans="1:20" s="2" customFormat="1" ht="18.600000000000001" customHeight="1" x14ac:dyDescent="0.25">
      <c r="A16" s="6"/>
      <c r="B16" s="7"/>
      <c r="C16" s="15" t="s">
        <v>30</v>
      </c>
      <c r="D16" s="16"/>
      <c r="E16" s="16"/>
      <c r="F16" s="16"/>
      <c r="G16" s="16"/>
      <c r="H16" s="8"/>
      <c r="I16" s="8"/>
      <c r="J16" s="8"/>
      <c r="K16" s="8"/>
      <c r="L16" s="8"/>
      <c r="M16" s="8"/>
      <c r="N16" s="8"/>
      <c r="O16" s="8"/>
      <c r="P16" s="7"/>
      <c r="Q16" s="7"/>
    </row>
    <row r="17" spans="1:17" s="2" customFormat="1" ht="18.600000000000001" customHeight="1" x14ac:dyDescent="0.25">
      <c r="A17" s="6"/>
      <c r="B17" s="7"/>
      <c r="C17" s="15" t="s">
        <v>10</v>
      </c>
      <c r="D17" s="16"/>
      <c r="E17" s="16"/>
      <c r="F17" s="16"/>
      <c r="G17" s="16"/>
      <c r="H17" s="8"/>
      <c r="I17" s="8"/>
      <c r="J17" s="8"/>
      <c r="K17" s="8"/>
      <c r="L17" s="8"/>
      <c r="M17" s="8"/>
      <c r="N17" s="8"/>
      <c r="O17" s="8"/>
      <c r="P17" s="7"/>
      <c r="Q17" s="7"/>
    </row>
    <row r="18" spans="1:17" s="2" customFormat="1" ht="18.600000000000001" customHeight="1" x14ac:dyDescent="0.25">
      <c r="A18" s="6"/>
      <c r="B18" s="7"/>
      <c r="C18" s="15" t="s">
        <v>11</v>
      </c>
      <c r="D18" s="16"/>
      <c r="E18" s="16"/>
      <c r="F18" s="16"/>
      <c r="G18" s="16"/>
      <c r="H18" s="8"/>
      <c r="I18" s="8"/>
      <c r="J18" s="8"/>
      <c r="K18" s="8"/>
      <c r="L18" s="8"/>
      <c r="M18" s="8"/>
      <c r="N18" s="8"/>
      <c r="O18" s="8"/>
      <c r="P18" s="7"/>
      <c r="Q18" s="7"/>
    </row>
    <row r="19" spans="1:17" s="2" customFormat="1" ht="18.600000000000001" customHeight="1" thickBot="1" x14ac:dyDescent="0.3">
      <c r="A19" s="6"/>
      <c r="B19" s="7"/>
      <c r="C19" s="15"/>
      <c r="D19" s="16"/>
      <c r="E19" s="16"/>
      <c r="F19" s="16"/>
      <c r="G19" s="16"/>
      <c r="H19" s="8"/>
      <c r="I19" s="8"/>
      <c r="J19" s="8"/>
      <c r="K19" s="8"/>
      <c r="L19" s="8"/>
      <c r="M19" s="8"/>
      <c r="N19" s="8"/>
      <c r="O19" s="8"/>
      <c r="P19" s="7"/>
      <c r="Q19" s="7"/>
    </row>
    <row r="20" spans="1:17" s="2" customFormat="1" ht="33" customHeight="1" thickTop="1" x14ac:dyDescent="0.25">
      <c r="A20" s="6"/>
      <c r="B20" s="23"/>
      <c r="C20" s="24" t="s">
        <v>12</v>
      </c>
      <c r="D20" s="25"/>
      <c r="E20" s="43">
        <f>I8</f>
        <v>0</v>
      </c>
      <c r="F20" s="25"/>
      <c r="G20" s="26"/>
      <c r="H20" s="26"/>
      <c r="I20" s="76">
        <f>L8</f>
        <v>0</v>
      </c>
      <c r="J20" s="77"/>
      <c r="K20" s="26"/>
      <c r="L20" s="26"/>
      <c r="M20" s="79">
        <f>O8</f>
        <v>0</v>
      </c>
      <c r="N20" s="80"/>
      <c r="O20" s="80"/>
      <c r="P20" s="27"/>
      <c r="Q20" s="28"/>
    </row>
    <row r="21" spans="1:17" s="2" customFormat="1" ht="33" customHeight="1" thickBot="1" x14ac:dyDescent="0.3">
      <c r="A21" s="6"/>
      <c r="B21" s="29"/>
      <c r="C21" s="30"/>
      <c r="D21" s="31"/>
      <c r="E21" s="30" t="s">
        <v>13</v>
      </c>
      <c r="F21" s="75" t="str">
        <f>IFERROR(IF(((I20-E20)/ABS(E20))&gt;0,"+","")&amp;ROUND(((I20-E20)/ABS(E20))*100,0)&amp;"%","-")</f>
        <v>-</v>
      </c>
      <c r="G21" s="75"/>
      <c r="H21" s="32"/>
      <c r="I21" s="32"/>
      <c r="J21" s="32"/>
      <c r="K21" s="78" t="str">
        <f>IFERROR(IF(((M20-I20)/ABS(I20))&gt;0,"+","")&amp;ROUND(((M20-I20)/ABS(I20))*100,0)&amp;"%","-")</f>
        <v>-</v>
      </c>
      <c r="L21" s="78"/>
      <c r="M21" s="78"/>
      <c r="N21" s="32"/>
      <c r="O21" s="32"/>
      <c r="P21" s="33"/>
      <c r="Q21" s="34"/>
    </row>
    <row r="22" spans="1:17" s="2" customFormat="1" ht="33" customHeight="1" thickTop="1" x14ac:dyDescent="0.25">
      <c r="A22" s="6"/>
      <c r="B22" s="23"/>
      <c r="C22" s="24" t="s">
        <v>14</v>
      </c>
      <c r="D22" s="25"/>
      <c r="E22" s="44">
        <f>I8-I9</f>
        <v>0</v>
      </c>
      <c r="F22" s="24"/>
      <c r="G22" s="26"/>
      <c r="H22" s="26"/>
      <c r="I22" s="76">
        <f>L8-L9</f>
        <v>0</v>
      </c>
      <c r="J22" s="77"/>
      <c r="K22" s="26"/>
      <c r="L22" s="26"/>
      <c r="M22" s="79">
        <f>O8-O9</f>
        <v>0</v>
      </c>
      <c r="N22" s="80"/>
      <c r="O22" s="80"/>
      <c r="P22" s="27"/>
      <c r="Q22" s="28"/>
    </row>
    <row r="23" spans="1:17" s="2" customFormat="1" ht="33" customHeight="1" x14ac:dyDescent="0.25">
      <c r="A23" s="6"/>
      <c r="B23" s="35"/>
      <c r="C23" s="17" t="s">
        <v>15</v>
      </c>
      <c r="D23" s="16"/>
      <c r="E23" s="17"/>
      <c r="F23" s="17"/>
      <c r="G23" s="8"/>
      <c r="H23" s="8"/>
      <c r="I23" s="8"/>
      <c r="J23" s="8"/>
      <c r="K23" s="8"/>
      <c r="L23" s="8"/>
      <c r="M23" s="8"/>
      <c r="N23" s="8"/>
      <c r="O23" s="8"/>
      <c r="P23" s="10"/>
      <c r="Q23" s="36"/>
    </row>
    <row r="24" spans="1:17" s="2" customFormat="1" ht="33" customHeight="1" thickBot="1" x14ac:dyDescent="0.3">
      <c r="A24" s="6"/>
      <c r="B24" s="29"/>
      <c r="C24" s="30"/>
      <c r="D24" s="31"/>
      <c r="E24" s="30" t="s">
        <v>13</v>
      </c>
      <c r="F24" s="84" t="str">
        <f>IFERROR(IF(((I22-E22)/ABS(E22))&gt;0,"+","")&amp;ROUND(((I22-E22)/ABS(E22))*100,0)&amp;"%","-")</f>
        <v>-</v>
      </c>
      <c r="G24" s="84"/>
      <c r="H24" s="32"/>
      <c r="I24" s="32"/>
      <c r="J24" s="32"/>
      <c r="K24" s="82" t="str">
        <f>IFERROR(IF(((M22-I22)/ABS(I22))&gt;0,"+","")&amp;ROUND(((M22-I22)/ABS(I22))*100,0)&amp;"%","-")</f>
        <v>-</v>
      </c>
      <c r="L24" s="82"/>
      <c r="M24" s="82"/>
      <c r="N24" s="32"/>
      <c r="O24" s="32"/>
      <c r="P24" s="33"/>
      <c r="Q24" s="34"/>
    </row>
    <row r="25" spans="1:17" s="2" customFormat="1" ht="33" customHeight="1" thickTop="1" x14ac:dyDescent="0.25">
      <c r="A25" s="6"/>
      <c r="B25" s="23"/>
      <c r="C25" s="24" t="s">
        <v>16</v>
      </c>
      <c r="D25" s="25"/>
      <c r="E25" s="43">
        <f>I10</f>
        <v>0</v>
      </c>
      <c r="F25" s="24"/>
      <c r="G25" s="26"/>
      <c r="H25" s="26"/>
      <c r="I25" s="76">
        <f>L10</f>
        <v>0</v>
      </c>
      <c r="J25" s="77"/>
      <c r="K25" s="26"/>
      <c r="L25" s="26"/>
      <c r="M25" s="79">
        <f>O10</f>
        <v>0</v>
      </c>
      <c r="N25" s="80"/>
      <c r="O25" s="80"/>
      <c r="P25" s="27"/>
      <c r="Q25" s="28"/>
    </row>
    <row r="26" spans="1:17" s="2" customFormat="1" ht="33" customHeight="1" thickBot="1" x14ac:dyDescent="0.3">
      <c r="A26" s="6"/>
      <c r="B26" s="29"/>
      <c r="C26" s="30"/>
      <c r="D26" s="31"/>
      <c r="E26" s="30" t="s">
        <v>13</v>
      </c>
      <c r="F26" s="75" t="str">
        <f>IFERROR(IF(((I25-E25)/ABS(E25))&gt;0,"+","")&amp;ROUND(((I25-E25)/ABS(E25))*100,0)&amp;"%","-")</f>
        <v>-</v>
      </c>
      <c r="G26" s="75"/>
      <c r="H26" s="32"/>
      <c r="I26" s="32"/>
      <c r="J26" s="32"/>
      <c r="K26" s="78" t="str">
        <f>IFERROR(IF(((M25-I25)/ABS(I25))&gt;0,"+","")&amp;ROUND(((M25-I25)/ABS(I25))*100,0)&amp;"%","-")</f>
        <v>-</v>
      </c>
      <c r="L26" s="78"/>
      <c r="M26" s="78"/>
      <c r="N26" s="32"/>
      <c r="O26" s="32"/>
      <c r="P26" s="33"/>
      <c r="Q26" s="34"/>
    </row>
    <row r="27" spans="1:17" s="2" customFormat="1" ht="33" customHeight="1" thickTop="1" x14ac:dyDescent="0.25">
      <c r="A27" s="6"/>
      <c r="B27" s="23"/>
      <c r="C27" s="24" t="s">
        <v>17</v>
      </c>
      <c r="D27" s="25"/>
      <c r="E27" s="43">
        <f>I10+I11</f>
        <v>0</v>
      </c>
      <c r="F27" s="83" t="str">
        <f>IFERROR(ROUND((E27/E22)*100,0)&amp;"% *","n/a*")</f>
        <v>n/a*</v>
      </c>
      <c r="G27" s="83"/>
      <c r="H27" s="26"/>
      <c r="I27" s="76">
        <f>L10+L11</f>
        <v>0</v>
      </c>
      <c r="J27" s="77"/>
      <c r="K27" s="77" t="str">
        <f>IFERROR(ROUND((I27/I22)*100,0)&amp;"% *","n/a*")</f>
        <v>n/a*</v>
      </c>
      <c r="L27" s="77"/>
      <c r="M27" s="79">
        <f>O10+O11</f>
        <v>0</v>
      </c>
      <c r="N27" s="80"/>
      <c r="O27" s="80"/>
      <c r="P27" s="77" t="str">
        <f>IFERROR(ROUND((M27/M22)*100,0)&amp;"% *","n/a*")</f>
        <v>n/a*</v>
      </c>
      <c r="Q27" s="81"/>
    </row>
    <row r="28" spans="1:17" s="2" customFormat="1" ht="33" customHeight="1" x14ac:dyDescent="0.25">
      <c r="A28" s="6"/>
      <c r="B28" s="35"/>
      <c r="C28" s="17" t="s">
        <v>18</v>
      </c>
      <c r="D28" s="16"/>
      <c r="E28" s="17"/>
      <c r="F28" s="17"/>
      <c r="G28" s="8"/>
      <c r="H28" s="8"/>
      <c r="I28" s="8"/>
      <c r="J28" s="8"/>
      <c r="K28" s="8"/>
      <c r="L28" s="8"/>
      <c r="M28" s="8"/>
      <c r="N28" s="8"/>
      <c r="O28" s="8"/>
      <c r="P28" s="10"/>
      <c r="Q28" s="36"/>
    </row>
    <row r="29" spans="1:17" s="2" customFormat="1" ht="33" customHeight="1" thickBot="1" x14ac:dyDescent="0.3">
      <c r="A29" s="6"/>
      <c r="B29" s="29"/>
      <c r="C29" s="30"/>
      <c r="D29" s="31"/>
      <c r="E29" s="30" t="s">
        <v>13</v>
      </c>
      <c r="F29" s="84" t="str">
        <f>IFERROR(IF(((I27-E27)/ABS(E27))&gt;0,"+","")&amp;ROUND(((I27-E27)/ABS(E27))*100,0)&amp;"%","-")</f>
        <v>-</v>
      </c>
      <c r="G29" s="84"/>
      <c r="H29" s="32"/>
      <c r="I29" s="32"/>
      <c r="J29" s="32"/>
      <c r="K29" s="82" t="str">
        <f>IFERROR(IF(((M27-I27)/ABS(I27))&gt;0,"+","")&amp;ROUND(((M27-I27)/ABS(I27))*100,0)&amp;"%","-")</f>
        <v>-</v>
      </c>
      <c r="L29" s="82"/>
      <c r="M29" s="82"/>
      <c r="N29" s="32"/>
      <c r="O29" s="32"/>
      <c r="P29" s="33"/>
      <c r="Q29" s="34"/>
    </row>
    <row r="30" spans="1:17" s="2" customFormat="1" ht="33" customHeight="1" thickTop="1" x14ac:dyDescent="0.25">
      <c r="A30" s="6"/>
      <c r="B30" s="23"/>
      <c r="C30" s="24" t="s">
        <v>19</v>
      </c>
      <c r="D30" s="25"/>
      <c r="E30" s="43">
        <f>I8-I9-I10</f>
        <v>0</v>
      </c>
      <c r="F30" s="24"/>
      <c r="G30" s="26"/>
      <c r="H30" s="26"/>
      <c r="I30" s="76">
        <f>L8-L9-L10</f>
        <v>0</v>
      </c>
      <c r="J30" s="77"/>
      <c r="K30" s="26"/>
      <c r="L30" s="26"/>
      <c r="M30" s="79">
        <f>O8-O9-O10</f>
        <v>0</v>
      </c>
      <c r="N30" s="80"/>
      <c r="O30" s="80"/>
      <c r="P30" s="27"/>
      <c r="Q30" s="28"/>
    </row>
    <row r="31" spans="1:17" s="2" customFormat="1" ht="33" customHeight="1" x14ac:dyDescent="0.25">
      <c r="A31" s="6"/>
      <c r="B31" s="35"/>
      <c r="C31" s="17" t="s">
        <v>20</v>
      </c>
      <c r="D31" s="16"/>
      <c r="E31" s="17"/>
      <c r="F31" s="17"/>
      <c r="G31" s="8"/>
      <c r="H31" s="8"/>
      <c r="I31" s="8"/>
      <c r="J31" s="8"/>
      <c r="K31" s="8"/>
      <c r="L31" s="8"/>
      <c r="M31" s="8"/>
      <c r="N31" s="8"/>
      <c r="O31" s="8"/>
      <c r="P31" s="10"/>
      <c r="Q31" s="36"/>
    </row>
    <row r="32" spans="1:17" s="2" customFormat="1" ht="33" customHeight="1" thickBot="1" x14ac:dyDescent="0.3">
      <c r="A32" s="6"/>
      <c r="B32" s="29"/>
      <c r="C32" s="30"/>
      <c r="D32" s="31"/>
      <c r="E32" s="30" t="s">
        <v>13</v>
      </c>
      <c r="F32" s="84" t="str">
        <f>IFERROR(IF(((I30-E30)/ABS(E30))&gt;0,"+","")&amp;ROUND(((I30-E30)/ABS(E30))*100,0)&amp;"%","-")</f>
        <v>-</v>
      </c>
      <c r="G32" s="84"/>
      <c r="H32" s="32"/>
      <c r="I32" s="32"/>
      <c r="J32" s="32"/>
      <c r="K32" s="82" t="str">
        <f>IFERROR(IF(((M30-I30)/ABS(I30))&gt;0,"+","")&amp;ROUND(((M30-I30)/ABS(I30))*100,0)&amp;"%","-")</f>
        <v>-</v>
      </c>
      <c r="L32" s="82"/>
      <c r="M32" s="82"/>
      <c r="N32" s="32"/>
      <c r="O32" s="32"/>
      <c r="P32" s="33"/>
      <c r="Q32" s="34"/>
    </row>
    <row r="33" spans="1:23" s="2" customFormat="1" ht="33" customHeight="1" thickTop="1" x14ac:dyDescent="0.25">
      <c r="A33" s="6"/>
      <c r="B33" s="23"/>
      <c r="C33" s="24" t="s">
        <v>4</v>
      </c>
      <c r="D33" s="25"/>
      <c r="E33" s="43">
        <f>I15</f>
        <v>0</v>
      </c>
      <c r="F33" s="77" t="str">
        <f>IFERROR(ROUND((E33/E22)*100,0)&amp;"% **","n/a**")</f>
        <v>n/a**</v>
      </c>
      <c r="G33" s="77"/>
      <c r="H33" s="26"/>
      <c r="I33" s="76">
        <f>L15</f>
        <v>0</v>
      </c>
      <c r="J33" s="77"/>
      <c r="K33" s="77" t="str">
        <f>IFERROR(ROUND((I33/I22)*100,0)&amp;"% **","n/a**")</f>
        <v>n/a**</v>
      </c>
      <c r="L33" s="77"/>
      <c r="M33" s="79">
        <f>O15</f>
        <v>0</v>
      </c>
      <c r="N33" s="80"/>
      <c r="O33" s="80"/>
      <c r="P33" s="77" t="str">
        <f>IFERROR(ROUND((M33/M22)*100,0)&amp;"% **","n/a**")</f>
        <v>n/a**</v>
      </c>
      <c r="Q33" s="81"/>
    </row>
    <row r="34" spans="1:23" s="2" customFormat="1" ht="33" customHeight="1" thickBot="1" x14ac:dyDescent="0.3">
      <c r="A34" s="6"/>
      <c r="B34" s="29"/>
      <c r="C34" s="30"/>
      <c r="D34" s="31"/>
      <c r="E34" s="30" t="s">
        <v>13</v>
      </c>
      <c r="F34" s="84" t="str">
        <f>IFERROR(IF(((I33-E33)/ABS(E33))&gt;0,"+","")&amp;ROUND(((I33-E33)/ABS(E33))*100,0)&amp;"%","-")</f>
        <v>-</v>
      </c>
      <c r="G34" s="84"/>
      <c r="H34" s="32"/>
      <c r="I34" s="32"/>
      <c r="J34" s="32"/>
      <c r="K34" s="82" t="str">
        <f>IFERROR(IF(((M33-I33)/ABS(I33))&gt;0,"+","")&amp;ROUND(((M33-I33)/ABS(I33))*100,0)&amp;"%","-")</f>
        <v>-</v>
      </c>
      <c r="L34" s="82"/>
      <c r="M34" s="82"/>
      <c r="N34" s="32"/>
      <c r="O34" s="32"/>
      <c r="P34" s="33"/>
      <c r="Q34" s="34"/>
    </row>
    <row r="35" spans="1:23" s="2" customFormat="1" ht="18.600000000000001" customHeight="1" thickTop="1" x14ac:dyDescent="0.25">
      <c r="A35" s="6"/>
      <c r="B35" s="9"/>
      <c r="C35" s="9" t="s">
        <v>22</v>
      </c>
      <c r="D35" s="16"/>
      <c r="E35" s="16"/>
      <c r="F35" s="16"/>
      <c r="G35" s="8"/>
      <c r="H35" s="8"/>
      <c r="I35" s="8"/>
      <c r="J35" s="8"/>
      <c r="K35" s="8"/>
      <c r="L35" s="8"/>
      <c r="M35" s="8"/>
      <c r="N35" s="8"/>
      <c r="O35" s="8"/>
      <c r="P35" s="7"/>
      <c r="Q35" s="7"/>
    </row>
    <row r="36" spans="1:23" ht="9.6" customHeight="1" x14ac:dyDescent="0.25">
      <c r="A36" s="5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8"/>
    </row>
    <row r="37" spans="1:23" s="2" customFormat="1" ht="20.45" customHeight="1" x14ac:dyDescent="0.25">
      <c r="A37" s="6"/>
      <c r="B37" s="48"/>
      <c r="C37" s="49" t="s">
        <v>43</v>
      </c>
      <c r="D37" s="49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7"/>
      <c r="Q37" s="51"/>
      <c r="R37" s="39"/>
    </row>
    <row r="38" spans="1:23" s="3" customFormat="1" ht="22.15" customHeight="1" x14ac:dyDescent="0.25">
      <c r="A38" s="11"/>
      <c r="B38" s="52"/>
      <c r="C38" s="66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8"/>
      <c r="Q38" s="53"/>
      <c r="R38" s="12" t="s">
        <v>0</v>
      </c>
      <c r="U38" s="2"/>
      <c r="V38" s="2"/>
      <c r="W38" s="2"/>
    </row>
    <row r="39" spans="1:23" s="3" customFormat="1" ht="22.15" customHeight="1" x14ac:dyDescent="0.25">
      <c r="A39" s="40"/>
      <c r="B39" s="52"/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1"/>
      <c r="Q39" s="53"/>
      <c r="R39" s="41" t="s">
        <v>0</v>
      </c>
      <c r="U39" s="2"/>
      <c r="V39" s="2"/>
      <c r="W39" s="2"/>
    </row>
    <row r="40" spans="1:23" s="3" customFormat="1" ht="22.15" customHeight="1" x14ac:dyDescent="0.25">
      <c r="A40" s="40"/>
      <c r="B40" s="52"/>
      <c r="C40" s="69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1"/>
      <c r="Q40" s="53"/>
      <c r="R40" s="41" t="s">
        <v>0</v>
      </c>
      <c r="U40" s="2"/>
      <c r="V40" s="2"/>
      <c r="W40" s="2"/>
    </row>
    <row r="41" spans="1:23" s="3" customFormat="1" ht="22.15" customHeight="1" x14ac:dyDescent="0.25">
      <c r="A41" s="40"/>
      <c r="B41" s="52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1"/>
      <c r="Q41" s="53"/>
      <c r="R41" s="41" t="s">
        <v>0</v>
      </c>
      <c r="U41" s="2"/>
      <c r="V41" s="2"/>
      <c r="W41" s="2"/>
    </row>
    <row r="42" spans="1:23" s="3" customFormat="1" ht="22.15" customHeight="1" x14ac:dyDescent="0.25">
      <c r="A42" s="40"/>
      <c r="B42" s="52"/>
      <c r="C42" s="69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1"/>
      <c r="Q42" s="53"/>
      <c r="R42" s="41" t="s">
        <v>0</v>
      </c>
      <c r="U42" s="2"/>
      <c r="V42" s="2"/>
      <c r="W42" s="2"/>
    </row>
    <row r="43" spans="1:23" s="3" customFormat="1" ht="22.15" customHeight="1" x14ac:dyDescent="0.25">
      <c r="A43" s="40"/>
      <c r="B43" s="52"/>
      <c r="C43" s="69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1"/>
      <c r="Q43" s="53"/>
      <c r="R43" s="41" t="s">
        <v>0</v>
      </c>
    </row>
    <row r="44" spans="1:23" s="3" customFormat="1" ht="22.15" customHeight="1" x14ac:dyDescent="0.25">
      <c r="A44" s="40"/>
      <c r="B44" s="52"/>
      <c r="C44" s="69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1"/>
      <c r="Q44" s="53"/>
      <c r="R44" s="41" t="s">
        <v>0</v>
      </c>
    </row>
    <row r="45" spans="1:23" s="3" customFormat="1" ht="24" customHeight="1" x14ac:dyDescent="0.25">
      <c r="A45" s="40"/>
      <c r="B45" s="52"/>
      <c r="C45" s="72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4"/>
      <c r="Q45" s="53"/>
      <c r="R45" s="41" t="s">
        <v>0</v>
      </c>
    </row>
    <row r="46" spans="1:23" ht="15" customHeight="1" x14ac:dyDescent="0.25">
      <c r="A46" s="37"/>
      <c r="B46" s="54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6"/>
      <c r="R46" s="38"/>
    </row>
    <row r="47" spans="1:23" x14ac:dyDescent="0.25">
      <c r="A47" s="38"/>
      <c r="B47" s="38"/>
      <c r="C47" s="5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</row>
  </sheetData>
  <sheetProtection algorithmName="SHA-512" hashValue="axQYkUEkR3fTT29maf1fiP39oXngxkdlIt+FIXPEobPK7zbqODEHB+QDr77+JmV8JgXdn6qXHvQbfxCKcDSNlQ==" saltValue="gT0pxX3kp6hIFgvEnZGYtA==" spinCount="100000" sheet="1" objects="1" scenarios="1"/>
  <mergeCells count="59">
    <mergeCell ref="F24:G24"/>
    <mergeCell ref="I22:J22"/>
    <mergeCell ref="I7:J7"/>
    <mergeCell ref="O11:P11"/>
    <mergeCell ref="I15:J15"/>
    <mergeCell ref="L15:M15"/>
    <mergeCell ref="O15:P15"/>
    <mergeCell ref="I11:J11"/>
    <mergeCell ref="K24:M24"/>
    <mergeCell ref="M22:O22"/>
    <mergeCell ref="G5:H5"/>
    <mergeCell ref="I5:J5"/>
    <mergeCell ref="O10:P10"/>
    <mergeCell ref="O5:P5"/>
    <mergeCell ref="F7:G7"/>
    <mergeCell ref="L5:N5"/>
    <mergeCell ref="L10:M10"/>
    <mergeCell ref="D5:F5"/>
    <mergeCell ref="B3:Q3"/>
    <mergeCell ref="M20:O20"/>
    <mergeCell ref="I20:J20"/>
    <mergeCell ref="F21:G21"/>
    <mergeCell ref="K21:M21"/>
    <mergeCell ref="L7:M7"/>
    <mergeCell ref="O7:P7"/>
    <mergeCell ref="I8:J8"/>
    <mergeCell ref="L8:M8"/>
    <mergeCell ref="O8:P8"/>
    <mergeCell ref="I9:J9"/>
    <mergeCell ref="L9:M9"/>
    <mergeCell ref="O9:P9"/>
    <mergeCell ref="I10:J10"/>
    <mergeCell ref="L11:M11"/>
    <mergeCell ref="D4:F4"/>
    <mergeCell ref="I30:J30"/>
    <mergeCell ref="M30:O30"/>
    <mergeCell ref="K32:M32"/>
    <mergeCell ref="F34:G34"/>
    <mergeCell ref="F33:G33"/>
    <mergeCell ref="I33:J33"/>
    <mergeCell ref="K34:M34"/>
    <mergeCell ref="M33:O33"/>
    <mergeCell ref="K33:L33"/>
    <mergeCell ref="G4:H4"/>
    <mergeCell ref="I4:J4"/>
    <mergeCell ref="C38:P45"/>
    <mergeCell ref="F26:G26"/>
    <mergeCell ref="I25:J25"/>
    <mergeCell ref="K26:M26"/>
    <mergeCell ref="M25:O25"/>
    <mergeCell ref="P33:Q33"/>
    <mergeCell ref="K29:M29"/>
    <mergeCell ref="M27:O27"/>
    <mergeCell ref="F27:G27"/>
    <mergeCell ref="F29:G29"/>
    <mergeCell ref="I27:J27"/>
    <mergeCell ref="K27:L27"/>
    <mergeCell ref="P27:Q27"/>
    <mergeCell ref="F32:G32"/>
  </mergeCells>
  <dataValidations count="7">
    <dataValidation type="list" allowBlank="1" showErrorMessage="1" errorTitle="Please Select a Year..." error="You may only select a year from the dropdown or clear the cell.  Please perform one of those actions to continue." sqref="I7:J7" xr:uid="{00000000-0002-0000-0000-000000000000}">
      <formula1>LKP_YEAR_1</formula1>
    </dataValidation>
    <dataValidation type="list" allowBlank="1" showErrorMessage="1" errorTitle="Please Select a Year..." error="You may only select a year from the dropdown or clear the cell.  Please perform one of those actions to continue." sqref="L7:M7" xr:uid="{00000000-0002-0000-0000-000001000000}">
      <formula1>LKP_YEAR_2</formula1>
    </dataValidation>
    <dataValidation type="list" allowBlank="1" showErrorMessage="1" errorTitle="Please Select a Year..." error="You may only select a year from the dropdown or clear the cell.  Please perform one of those actions to continue." sqref="O7:P7" xr:uid="{00000000-0002-0000-0000-000002000000}">
      <formula1>LKP_YEAR_3</formula1>
    </dataValidation>
    <dataValidation type="textLength" allowBlank="1" showErrorMessage="1" errorTitle="Too Many Characters" error="You have entered too many characters in this text field.  The maximum number of characters allowed is 186.  Please re-enter." sqref="B38:B45" xr:uid="{00000000-0002-0000-0000-000003000000}">
      <formula1>0</formula1>
      <formula2>186</formula2>
    </dataValidation>
    <dataValidation type="custom" allowBlank="1" showErrorMessage="1" errorTitle="Non-Numeric Entry" error="You have entered a non-numeric or non-whole-number value in the current cell.  This is not allowed.  Please enter a number or leave the cell blank to continue." sqref="I8:J11 I15:J15 L8:M11 L15:M15 O8:P11 O15:P15" xr:uid="{00000000-0002-0000-0000-000004000000}">
      <formula1>IF(AND(ISNUMBER(I8),MOD(I8,1)=0),TRUE,FALSE)</formula1>
    </dataValidation>
    <dataValidation allowBlank="1" showErrorMessage="1" errorTitle="Too Many Characters..." error="You have entered too many characters in this text field.  The maximum number of characters allowed is 186.  Please re-enter." sqref="C38" xr:uid="{00000000-0002-0000-0000-000005000000}"/>
    <dataValidation type="date" operator="greaterThan" allowBlank="1" showInputMessage="1" showErrorMessage="1" errorTitle="Invalid Date..." error="Please enter a valid date." sqref="I4:J5" xr:uid="{00000000-0002-0000-0000-000006000000}">
      <formula1>1</formula1>
    </dataValidation>
  </dataValidations>
  <printOptions horizontalCentered="1" verticalCentered="1"/>
  <pageMargins left="0.25" right="0.25" top="0.45" bottom="0.45" header="0.25" footer="0.25"/>
  <pageSetup scale="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E7"/>
  <sheetViews>
    <sheetView workbookViewId="0">
      <selection activeCell="C10" sqref="C10"/>
    </sheetView>
  </sheetViews>
  <sheetFormatPr defaultRowHeight="15" x14ac:dyDescent="0.25"/>
  <cols>
    <col min="1" max="1" width="11.28515625" bestFit="1" customWidth="1"/>
    <col min="2" max="2" width="21.42578125" bestFit="1" customWidth="1"/>
    <col min="3" max="3" width="15.5703125" bestFit="1" customWidth="1"/>
    <col min="4" max="4" width="14.42578125" bestFit="1" customWidth="1"/>
    <col min="5" max="5" width="15.42578125" bestFit="1" customWidth="1"/>
  </cols>
  <sheetData>
    <row r="1" spans="1:5" x14ac:dyDescent="0.25">
      <c r="A1" t="s">
        <v>33</v>
      </c>
      <c r="B1" t="s">
        <v>34</v>
      </c>
      <c r="C1" t="s">
        <v>35</v>
      </c>
      <c r="D1" t="s">
        <v>36</v>
      </c>
      <c r="E1" t="s">
        <v>37</v>
      </c>
    </row>
    <row r="2" spans="1:5" x14ac:dyDescent="0.25">
      <c r="A2">
        <v>0</v>
      </c>
      <c r="B2" t="b">
        <v>1</v>
      </c>
      <c r="C2" t="b">
        <v>0</v>
      </c>
      <c r="D2" t="b">
        <v>1</v>
      </c>
      <c r="E2" t="b">
        <v>1</v>
      </c>
    </row>
    <row r="3" spans="1:5" x14ac:dyDescent="0.25">
      <c r="A3">
        <v>1</v>
      </c>
      <c r="B3" t="b">
        <v>1</v>
      </c>
      <c r="C3" t="b">
        <v>1</v>
      </c>
      <c r="D3" t="b">
        <v>0</v>
      </c>
      <c r="E3" t="b">
        <v>1</v>
      </c>
    </row>
    <row r="4" spans="1:5" x14ac:dyDescent="0.25">
      <c r="A4">
        <v>2</v>
      </c>
      <c r="B4" t="b">
        <v>1</v>
      </c>
      <c r="C4" t="b">
        <v>1</v>
      </c>
      <c r="D4" t="b">
        <v>0</v>
      </c>
      <c r="E4" t="b">
        <v>1</v>
      </c>
    </row>
    <row r="5" spans="1:5" x14ac:dyDescent="0.25">
      <c r="A5">
        <v>3</v>
      </c>
      <c r="B5" t="b">
        <v>1</v>
      </c>
      <c r="C5" t="b">
        <v>1</v>
      </c>
      <c r="D5" t="b">
        <v>0</v>
      </c>
      <c r="E5" t="b">
        <v>1</v>
      </c>
    </row>
    <row r="6" spans="1:5" x14ac:dyDescent="0.25">
      <c r="A6">
        <v>4</v>
      </c>
      <c r="B6" t="b">
        <v>1</v>
      </c>
      <c r="C6" t="b">
        <v>1</v>
      </c>
      <c r="D6" t="b">
        <v>0</v>
      </c>
      <c r="E6" t="b">
        <v>1</v>
      </c>
    </row>
    <row r="7" spans="1:5" x14ac:dyDescent="0.25">
      <c r="A7">
        <v>8</v>
      </c>
      <c r="B7" t="b">
        <v>1</v>
      </c>
      <c r="C7" t="b">
        <v>1</v>
      </c>
      <c r="D7" t="b">
        <v>0</v>
      </c>
      <c r="E7" t="b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D14"/>
  <sheetViews>
    <sheetView workbookViewId="0">
      <selection activeCell="D6" sqref="D6"/>
    </sheetView>
  </sheetViews>
  <sheetFormatPr defaultRowHeight="15" x14ac:dyDescent="0.25"/>
  <cols>
    <col min="1" max="1" width="11.7109375" bestFit="1" customWidth="1"/>
    <col min="2" max="4" width="11.140625" bestFit="1" customWidth="1"/>
    <col min="5" max="5" width="8.85546875" customWidth="1"/>
  </cols>
  <sheetData>
    <row r="1" spans="1:4" x14ac:dyDescent="0.25">
      <c r="A1" t="s">
        <v>25</v>
      </c>
      <c r="B1" s="5" t="s">
        <v>1</v>
      </c>
      <c r="C1" s="5" t="s">
        <v>2</v>
      </c>
      <c r="D1" s="5" t="s">
        <v>3</v>
      </c>
    </row>
    <row r="2" spans="1:4" x14ac:dyDescent="0.25">
      <c r="A2" s="42" t="b">
        <v>1</v>
      </c>
      <c r="B2" s="5">
        <v>2019</v>
      </c>
      <c r="C2" s="5">
        <v>2020</v>
      </c>
      <c r="D2" s="5">
        <v>2021</v>
      </c>
    </row>
    <row r="3" spans="1:4" x14ac:dyDescent="0.25">
      <c r="B3" s="5">
        <v>2020</v>
      </c>
      <c r="C3" s="5">
        <v>2021</v>
      </c>
      <c r="D3" s="5">
        <v>2022</v>
      </c>
    </row>
    <row r="4" spans="1:4" x14ac:dyDescent="0.25">
      <c r="B4" s="5"/>
      <c r="C4" s="5"/>
      <c r="D4" s="5"/>
    </row>
    <row r="5" spans="1:4" x14ac:dyDescent="0.25">
      <c r="B5" s="5"/>
      <c r="C5" s="5"/>
      <c r="D5" s="5"/>
    </row>
    <row r="6" spans="1:4" x14ac:dyDescent="0.25">
      <c r="B6" s="5"/>
      <c r="C6" s="5"/>
      <c r="D6" s="5"/>
    </row>
    <row r="7" spans="1:4" x14ac:dyDescent="0.25">
      <c r="B7" s="5"/>
      <c r="C7" s="5"/>
      <c r="D7" s="5"/>
    </row>
    <row r="8" spans="1:4" x14ac:dyDescent="0.25">
      <c r="B8" s="5"/>
      <c r="C8" s="5"/>
      <c r="D8" s="5"/>
    </row>
    <row r="9" spans="1:4" x14ac:dyDescent="0.25">
      <c r="B9" s="5"/>
      <c r="C9" s="5"/>
      <c r="D9" s="5"/>
    </row>
    <row r="10" spans="1:4" x14ac:dyDescent="0.25">
      <c r="B10" s="5"/>
      <c r="C10" s="5"/>
      <c r="D10" s="5"/>
    </row>
    <row r="11" spans="1:4" x14ac:dyDescent="0.25">
      <c r="B11" s="5"/>
      <c r="C11" s="5"/>
      <c r="D11" s="5"/>
    </row>
    <row r="12" spans="1:4" x14ac:dyDescent="0.25">
      <c r="B12" s="5"/>
      <c r="C12" s="5"/>
      <c r="D12" s="5"/>
    </row>
    <row r="13" spans="1:4" x14ac:dyDescent="0.25">
      <c r="B13" s="5"/>
      <c r="C13" s="5"/>
      <c r="D13" s="5"/>
    </row>
    <row r="14" spans="1:4" x14ac:dyDescent="0.25">
      <c r="C14" s="5"/>
      <c r="D14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50"/>
  </sheetPr>
  <dimension ref="A1:B5"/>
  <sheetViews>
    <sheetView workbookViewId="0">
      <selection activeCell="A6" sqref="A6"/>
    </sheetView>
  </sheetViews>
  <sheetFormatPr defaultRowHeight="15" x14ac:dyDescent="0.25"/>
  <cols>
    <col min="1" max="1" width="11.7109375" bestFit="1" customWidth="1"/>
    <col min="2" max="2" width="132.42578125" bestFit="1" customWidth="1"/>
  </cols>
  <sheetData>
    <row r="1" spans="1:2" x14ac:dyDescent="0.25">
      <c r="A1" t="s">
        <v>23</v>
      </c>
      <c r="B1" t="s">
        <v>24</v>
      </c>
    </row>
    <row r="2" spans="1:2" x14ac:dyDescent="0.25">
      <c r="A2" t="s">
        <v>25</v>
      </c>
      <c r="B2" t="s">
        <v>29</v>
      </c>
    </row>
    <row r="3" spans="1:2" x14ac:dyDescent="0.25">
      <c r="A3" s="5" t="s">
        <v>1</v>
      </c>
      <c r="B3" t="s">
        <v>26</v>
      </c>
    </row>
    <row r="4" spans="1:2" x14ac:dyDescent="0.25">
      <c r="A4" s="5" t="s">
        <v>2</v>
      </c>
      <c r="B4" t="s">
        <v>27</v>
      </c>
    </row>
    <row r="5" spans="1:2" x14ac:dyDescent="0.25">
      <c r="A5" s="5" t="s">
        <v>3</v>
      </c>
      <c r="B5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Comp. Inc.</vt:lpstr>
      <vt:lpstr>_CI_ANN_MATRIX_</vt:lpstr>
      <vt:lpstr>_CI_LOOKUPS_</vt:lpstr>
      <vt:lpstr>_CI_LKP_VARS_</vt:lpstr>
      <vt:lpstr>'Comp. Inc.'!Print_Area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Mortgage Guaranty Insurance Corporation (MGIC)</dc:creator>
  <cp:lastModifiedBy>Lisa Curry</cp:lastModifiedBy>
  <cp:lastPrinted>2019-01-07T08:32:04Z</cp:lastPrinted>
  <dcterms:created xsi:type="dcterms:W3CDTF">2018-10-01T05:44:54Z</dcterms:created>
  <dcterms:modified xsi:type="dcterms:W3CDTF">2022-02-28T21:27:51Z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{C1E38D65-DD58-4680-A607-742EACB69543}</vt:lpwstr>
  </property>
</Properties>
</file>