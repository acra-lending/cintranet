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lisac\OneDrive - Citadel Servicing Corp\Desktop\"/>
    </mc:Choice>
  </mc:AlternateContent>
  <xr:revisionPtr revIDLastSave="0" documentId="8_{301D89F2-5562-4DB2-806C-D50C022DE612}" xr6:coauthVersionLast="47" xr6:coauthVersionMax="47" xr10:uidLastSave="{00000000-0000-0000-0000-000000000000}"/>
  <workbookProtection workbookAlgorithmName="SHA-512" workbookHashValue="MW7xCGGN9idqDi3pfd7qACIR8DApdT1oCt+7nXiyFPqL4HO+I01jDFseWIVa+YPOMjnfXIvJY8GRqBKL+rsj4A==" workbookSaltValue="KYMoqKJDmkOeWJ5wmeOsJg==" workbookSpinCount="100000" lockStructure="1"/>
  <bookViews>
    <workbookView xWindow="-120" yWindow="-120" windowWidth="29040" windowHeight="15840" xr2:uid="{00000000-000D-0000-FFFF-FFFF00000000}"/>
  </bookViews>
  <sheets>
    <sheet name="Rental" sheetId="2" r:id="rId1"/>
    <sheet name="_HYPER_LKP_NEW_" sheetId="9" state="hidden" r:id="rId2"/>
    <sheet name="NOTES" sheetId="12" state="hidden" r:id="rId3"/>
    <sheet name="LOOKUPS" sheetId="3" state="hidden" r:id="rId4"/>
    <sheet name="_HYPER_LKP_" sheetId="8" state="hidden" r:id="rId5"/>
    <sheet name="Rental (2)" sheetId="10" state="hidden" r:id="rId6"/>
  </sheets>
  <externalReferences>
    <externalReference r:id="rId7"/>
    <externalReference r:id="rId8"/>
    <externalReference r:id="rId9"/>
  </externalReferences>
  <definedNames>
    <definedName name="LKP_MILEAGE" localSheetId="4">OFFSET([1]LOOKUPS!$B$1,1,0,COUNTA([1]LOOKUPS!$B:$B)-1,2)</definedName>
    <definedName name="LKP_MILEAGE" localSheetId="1">OFFSET([2]LOOKUPS!$B$1,1,0,COUNTA([2]LOOKUPS!$B:$B)-1,2)</definedName>
    <definedName name="LKP_MILEAGE" localSheetId="2">OFFSET([3]LOOKUPS!$B$1,1,0,COUNTA([3]LOOKUPS!$B:$B)-1,2)</definedName>
    <definedName name="LKP_MILEAGE">OFFSET(LOOKUPS!$B$1,1,0,COUNTA(LOOKUPS!$B:$B)-1,2)</definedName>
    <definedName name="LKP_MONTH" localSheetId="4">OFFSET([1]LOOKUPS!$D$1,1,0,COUNTA([1]LOOKUPS!$D:$D)-1,1)</definedName>
    <definedName name="LKP_MONTH" localSheetId="1">OFFSET([2]LOOKUPS!$D$1,1,0,COUNTA([2]LOOKUPS!$D:$D)-1,1)</definedName>
    <definedName name="LKP_MONTH" localSheetId="2">OFFSET([3]LOOKUPS!$D$1,1,0,COUNTA([3]LOOKUPS!$D:$D)-1,1)</definedName>
    <definedName name="LKP_MONTH">OFFSET(LOOKUPS!$D$1,1,0,COUNTA(LOOKUPS!$D:$D)-1,1)</definedName>
    <definedName name="LKP_YEAR" localSheetId="4">OFFSET([1]LOOKUPS!$B$1,1,0,COUNTA([1]LOOKUPS!$B:$B)-1,1)</definedName>
    <definedName name="LKP_YEAR" localSheetId="1">OFFSET([2]LOOKUPS!$B$1,1,0,COUNTA([2]LOOKUPS!$B:$B)-1,1)</definedName>
    <definedName name="LKP_YEAR" localSheetId="2">OFFSET([3]LOOKUPS!$B$1,1,0,COUNTA([3]LOOKUPS!$B:$B)-1,1)</definedName>
    <definedName name="LKP_YEAR">OFFSET(LOOKUPS!$B$1,1,0,COUNTA(LOOKUPS!$B:$B)-1,1)</definedName>
    <definedName name="_xlnm.Print_Area" localSheetId="0">Rental!$A$1:$P$739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612" i="2" l="1"/>
  <c r="D595" i="2"/>
  <c r="D578" i="2"/>
  <c r="D561" i="2"/>
  <c r="D544" i="2"/>
  <c r="D527" i="2"/>
  <c r="D510" i="2"/>
  <c r="D493" i="2"/>
  <c r="D476" i="2"/>
  <c r="D459" i="2"/>
  <c r="D442" i="2"/>
  <c r="D425" i="2"/>
  <c r="D291" i="2"/>
  <c r="D274" i="2"/>
  <c r="D257" i="2"/>
  <c r="D240" i="2"/>
  <c r="D223" i="2"/>
  <c r="D206" i="2"/>
  <c r="D189" i="2"/>
  <c r="D172" i="2"/>
  <c r="D155" i="2"/>
  <c r="D138" i="2"/>
  <c r="D121" i="2"/>
  <c r="D104" i="2"/>
  <c r="D57" i="2"/>
  <c r="D42" i="2"/>
  <c r="D27" i="2"/>
  <c r="J66" i="2" l="1"/>
  <c r="J300" i="2" l="1"/>
  <c r="J309" i="2"/>
  <c r="J621" i="2" l="1"/>
  <c r="J630" i="2" l="1"/>
  <c r="J639" i="2"/>
  <c r="J648" i="2"/>
  <c r="J657" i="2"/>
  <c r="J666" i="2"/>
  <c r="J675" i="2"/>
  <c r="J684" i="2"/>
  <c r="J693" i="2"/>
  <c r="J702" i="2"/>
  <c r="J711" i="2"/>
  <c r="J720" i="2"/>
  <c r="J73" i="2" l="1"/>
  <c r="L438" i="2" l="1"/>
  <c r="L439" i="2" s="1"/>
  <c r="I438" i="2"/>
  <c r="I439" i="2" s="1"/>
  <c r="L455" i="2"/>
  <c r="L456" i="2" s="1"/>
  <c r="I455" i="2"/>
  <c r="I456" i="2" s="1"/>
  <c r="L472" i="2"/>
  <c r="L473" i="2" s="1"/>
  <c r="I472" i="2"/>
  <c r="I473" i="2" s="1"/>
  <c r="L489" i="2"/>
  <c r="L490" i="2" s="1"/>
  <c r="I489" i="2"/>
  <c r="I490" i="2" s="1"/>
  <c r="L506" i="2"/>
  <c r="L507" i="2" s="1"/>
  <c r="I506" i="2"/>
  <c r="I507" i="2" s="1"/>
  <c r="L523" i="2"/>
  <c r="L524" i="2" s="1"/>
  <c r="I523" i="2"/>
  <c r="I524" i="2" s="1"/>
  <c r="L540" i="2"/>
  <c r="L541" i="2" s="1"/>
  <c r="I540" i="2"/>
  <c r="I541" i="2" s="1"/>
  <c r="L557" i="2"/>
  <c r="L558" i="2" s="1"/>
  <c r="I557" i="2"/>
  <c r="I558" i="2" s="1"/>
  <c r="L574" i="2"/>
  <c r="L575" i="2" s="1"/>
  <c r="I574" i="2"/>
  <c r="I575" i="2" s="1"/>
  <c r="L591" i="2"/>
  <c r="L592" i="2" s="1"/>
  <c r="I591" i="2"/>
  <c r="I592" i="2" s="1"/>
  <c r="L608" i="2"/>
  <c r="L609" i="2" s="1"/>
  <c r="I608" i="2"/>
  <c r="I609" i="2" s="1"/>
  <c r="L117" i="2"/>
  <c r="L118" i="2" s="1"/>
  <c r="I117" i="2"/>
  <c r="I118" i="2" s="1"/>
  <c r="L134" i="2"/>
  <c r="L135" i="2" s="1"/>
  <c r="I134" i="2"/>
  <c r="I135" i="2" s="1"/>
  <c r="L151" i="2"/>
  <c r="L152" i="2" s="1"/>
  <c r="I151" i="2"/>
  <c r="I152" i="2" s="1"/>
  <c r="L168" i="2"/>
  <c r="L169" i="2" s="1"/>
  <c r="I168" i="2"/>
  <c r="I169" i="2" s="1"/>
  <c r="L185" i="2"/>
  <c r="L186" i="2" s="1"/>
  <c r="I185" i="2"/>
  <c r="I186" i="2" s="1"/>
  <c r="L202" i="2"/>
  <c r="L203" i="2" s="1"/>
  <c r="I202" i="2"/>
  <c r="I203" i="2" s="1"/>
  <c r="L219" i="2"/>
  <c r="L220" i="2" s="1"/>
  <c r="I219" i="2"/>
  <c r="I220" i="2" s="1"/>
  <c r="L236" i="2"/>
  <c r="L237" i="2" s="1"/>
  <c r="I236" i="2"/>
  <c r="I237" i="2" s="1"/>
  <c r="I243" i="2"/>
  <c r="L243" i="2"/>
  <c r="L270" i="2"/>
  <c r="L271" i="2" s="1"/>
  <c r="I270" i="2"/>
  <c r="I271" i="2" s="1"/>
  <c r="L287" i="2"/>
  <c r="L288" i="2" s="1"/>
  <c r="I287" i="2"/>
  <c r="I288" i="2" s="1"/>
  <c r="L55" i="2"/>
  <c r="L56" i="2" s="1"/>
  <c r="I55" i="2"/>
  <c r="L40" i="2"/>
  <c r="L41" i="2" s="1"/>
  <c r="I40" i="2"/>
  <c r="L100" i="2"/>
  <c r="L101" i="2" s="1"/>
  <c r="I100" i="2"/>
  <c r="I101" i="2" s="1"/>
  <c r="J42" i="2" l="1"/>
  <c r="I41" i="2"/>
  <c r="J57" i="2"/>
  <c r="I56" i="2"/>
  <c r="L120" i="2"/>
  <c r="I120" i="2"/>
  <c r="J121" i="2" s="1"/>
  <c r="L154" i="2"/>
  <c r="I154" i="2"/>
  <c r="L171" i="2"/>
  <c r="I171" i="2"/>
  <c r="J172" i="2" s="1"/>
  <c r="L188" i="2"/>
  <c r="I188" i="2"/>
  <c r="J189" i="2" s="1"/>
  <c r="L205" i="2"/>
  <c r="I205" i="2"/>
  <c r="L222" i="2"/>
  <c r="I222" i="2"/>
  <c r="J223" i="2" s="1"/>
  <c r="L239" i="2"/>
  <c r="I239" i="2"/>
  <c r="L273" i="2"/>
  <c r="I273" i="2"/>
  <c r="J274" i="2" s="1"/>
  <c r="L290" i="2"/>
  <c r="I290" i="2"/>
  <c r="J291" i="2" s="1"/>
  <c r="L441" i="2"/>
  <c r="I441" i="2"/>
  <c r="L475" i="2"/>
  <c r="I475" i="2"/>
  <c r="J476" i="2" s="1"/>
  <c r="L492" i="2"/>
  <c r="I492" i="2"/>
  <c r="J493" i="2" s="1"/>
  <c r="L509" i="2"/>
  <c r="I509" i="2"/>
  <c r="J510" i="2" s="1"/>
  <c r="L526" i="2"/>
  <c r="I526" i="2"/>
  <c r="L543" i="2"/>
  <c r="I543" i="2"/>
  <c r="L560" i="2"/>
  <c r="I560" i="2"/>
  <c r="L577" i="2"/>
  <c r="I577" i="2"/>
  <c r="L594" i="2"/>
  <c r="I594" i="2"/>
  <c r="J595" i="2" s="1"/>
  <c r="L611" i="2"/>
  <c r="I611" i="2"/>
  <c r="J612" i="2" s="1"/>
  <c r="L458" i="2"/>
  <c r="I458" i="2"/>
  <c r="J459" i="2" s="1"/>
  <c r="L137" i="2"/>
  <c r="I137" i="2"/>
  <c r="J138" i="2" s="1"/>
  <c r="I253" i="2"/>
  <c r="I254" i="2" s="1"/>
  <c r="L253" i="2"/>
  <c r="L254" i="2" s="1"/>
  <c r="L421" i="2"/>
  <c r="L422" i="2" s="1"/>
  <c r="I421" i="2"/>
  <c r="I422" i="2" s="1"/>
  <c r="J561" i="2" l="1"/>
  <c r="J442" i="2"/>
  <c r="J544" i="2"/>
  <c r="J578" i="2"/>
  <c r="J527" i="2"/>
  <c r="J240" i="2"/>
  <c r="J206" i="2"/>
  <c r="J155" i="2"/>
  <c r="L256" i="2"/>
  <c r="I256" i="2"/>
  <c r="L25" i="2"/>
  <c r="L26" i="2" s="1"/>
  <c r="I25" i="2"/>
  <c r="J257" i="2" l="1"/>
  <c r="I26" i="2"/>
  <c r="J27" i="2"/>
  <c r="J399" i="2"/>
  <c r="J390" i="2"/>
  <c r="J381" i="2"/>
  <c r="J372" i="2"/>
  <c r="J363" i="2"/>
  <c r="J354" i="2"/>
  <c r="J345" i="2"/>
  <c r="J336" i="2"/>
  <c r="J327" i="2"/>
  <c r="J318" i="2"/>
  <c r="J80" i="2"/>
  <c r="L598" i="2" l="1"/>
  <c r="I598" i="2"/>
  <c r="L581" i="2"/>
  <c r="I581" i="2"/>
  <c r="L564" i="2"/>
  <c r="I564" i="2"/>
  <c r="L547" i="2"/>
  <c r="I547" i="2"/>
  <c r="L530" i="2"/>
  <c r="I530" i="2"/>
  <c r="L513" i="2"/>
  <c r="I513" i="2"/>
  <c r="L496" i="2"/>
  <c r="I496" i="2"/>
  <c r="L479" i="2"/>
  <c r="I479" i="2"/>
  <c r="L462" i="2"/>
  <c r="I462" i="2"/>
  <c r="L445" i="2"/>
  <c r="I445" i="2"/>
  <c r="L428" i="2"/>
  <c r="I428" i="2"/>
  <c r="L277" i="2" l="1"/>
  <c r="I277" i="2"/>
  <c r="L260" i="2"/>
  <c r="I260" i="2"/>
  <c r="L226" i="2"/>
  <c r="I226" i="2"/>
  <c r="L209" i="2"/>
  <c r="I209" i="2"/>
  <c r="L192" i="2"/>
  <c r="I192" i="2"/>
  <c r="L175" i="2"/>
  <c r="I175" i="2"/>
  <c r="L158" i="2"/>
  <c r="I158" i="2"/>
  <c r="L141" i="2"/>
  <c r="I141" i="2"/>
  <c r="L124" i="2"/>
  <c r="I124" i="2"/>
  <c r="L107" i="2"/>
  <c r="I107" i="2"/>
  <c r="J622" i="2" l="1"/>
  <c r="J624" i="2" s="1"/>
  <c r="J631" i="2"/>
  <c r="J633" i="2" s="1"/>
  <c r="J721" i="2"/>
  <c r="J723" i="2" s="1"/>
  <c r="J712" i="2"/>
  <c r="J714" i="2" s="1"/>
  <c r="J703" i="2"/>
  <c r="J705" i="2" s="1"/>
  <c r="J694" i="2"/>
  <c r="J696" i="2" s="1"/>
  <c r="J685" i="2"/>
  <c r="J687" i="2" s="1"/>
  <c r="J676" i="2"/>
  <c r="J678" i="2" s="1"/>
  <c r="J667" i="2"/>
  <c r="J669" i="2" s="1"/>
  <c r="J658" i="2"/>
  <c r="J660" i="2" s="1"/>
  <c r="J649" i="2"/>
  <c r="J651" i="2" s="1"/>
  <c r="J640" i="2"/>
  <c r="J642" i="2" s="1"/>
  <c r="L424" i="2"/>
  <c r="L411" i="2"/>
  <c r="I411" i="2"/>
  <c r="L90" i="2"/>
  <c r="L45" i="2"/>
  <c r="L30" i="2"/>
  <c r="I90" i="2"/>
  <c r="I45" i="2"/>
  <c r="I30" i="2"/>
  <c r="L15" i="2"/>
  <c r="I15" i="2"/>
  <c r="I424" i="2" l="1"/>
  <c r="J425" i="2" s="1"/>
  <c r="J382" i="2" l="1"/>
  <c r="J384" i="2" s="1"/>
  <c r="J373" i="2"/>
  <c r="J375" i="2" s="1"/>
  <c r="J364" i="2"/>
  <c r="J366" i="2" s="1"/>
  <c r="J355" i="2"/>
  <c r="J357" i="2" s="1"/>
  <c r="J346" i="2"/>
  <c r="J348" i="2" s="1"/>
  <c r="J337" i="2"/>
  <c r="J339" i="2" s="1"/>
  <c r="J328" i="2"/>
  <c r="J330" i="2" s="1"/>
  <c r="J319" i="2"/>
  <c r="J321" i="2" s="1"/>
  <c r="J310" i="2"/>
  <c r="J312" i="2" s="1"/>
  <c r="J301" i="2"/>
  <c r="J303" i="2" s="1"/>
  <c r="J400" i="2"/>
  <c r="J402" i="2" s="1"/>
  <c r="J391" i="2"/>
  <c r="J393" i="2" s="1"/>
  <c r="I103" i="2"/>
  <c r="L103" i="2" l="1"/>
  <c r="J104" i="2" s="1"/>
  <c r="J81" i="2" l="1"/>
  <c r="J74" i="2"/>
  <c r="J67" i="2"/>
</calcChain>
</file>

<file path=xl/sharedStrings.xml><?xml version="1.0" encoding="utf-8"?>
<sst xmlns="http://schemas.openxmlformats.org/spreadsheetml/2006/main" count="2678" uniqueCount="397">
  <si>
    <t>LKP_YEAR</t>
  </si>
  <si>
    <t>HAS_DATA_PROMPT</t>
  </si>
  <si>
    <t>HAS_DATA_DEL</t>
  </si>
  <si>
    <t>MILEAGE_RATE</t>
  </si>
  <si>
    <t>LKP_MONTHS</t>
  </si>
  <si>
    <t>Schedule E</t>
  </si>
  <si>
    <t>SUMM_DATA_VALIDATION</t>
  </si>
  <si>
    <t>VIRGIN_WBK</t>
  </si>
  <si>
    <t xml:space="preserve">Annualization date: </t>
  </si>
  <si>
    <t>Other:</t>
  </si>
  <si>
    <t>Property:</t>
  </si>
  <si>
    <t>Rental Income (Loss) Calculation</t>
  </si>
  <si>
    <t>Annual Gross Rental Income (Loss)</t>
  </si>
  <si>
    <t>Monthly Gross Rental Income (Loss)</t>
  </si>
  <si>
    <t>NET Monthly Rental Income (Loss)</t>
  </si>
  <si>
    <t xml:space="preserve">( </t>
  </si>
  <si>
    <t xml:space="preserve"> )</t>
  </si>
  <si>
    <t>NUM</t>
  </si>
  <si>
    <t>REF_CELL</t>
  </si>
  <si>
    <t>REF_ROW</t>
  </si>
  <si>
    <t>TEXT_DISP</t>
  </si>
  <si>
    <t>WINDOW_STATE</t>
  </si>
  <si>
    <t>BASE_PATH</t>
  </si>
  <si>
    <t>FILE_NAME</t>
  </si>
  <si>
    <t>HAS_PAGE</t>
  </si>
  <si>
    <t>LDG_ZERO</t>
  </si>
  <si>
    <t>PAGE</t>
  </si>
  <si>
    <t>HAS_ADDTL</t>
  </si>
  <si>
    <t>ADDTL</t>
  </si>
  <si>
    <t>EXAMPLE_URL</t>
  </si>
  <si>
    <t>C9</t>
  </si>
  <si>
    <t>Recurring Interest Income: LINE 1 or 1040 LINE 2b (2019 and 2018), LINE 8a (2017)</t>
  </si>
  <si>
    <t>Show_Maximized</t>
  </si>
  <si>
    <t>https://www.mgic.com/-/media/MGIC/seb/</t>
  </si>
  <si>
    <t>71-8847_seb_manual_2018.pdf</t>
  </si>
  <si>
    <t>view=fit</t>
  </si>
  <si>
    <t>https://www.mgic.com/-/media/MGIC/seb/71-8847_seb_manual_2018.pdf#page=21&amp;view=fit</t>
  </si>
  <si>
    <t>C10</t>
  </si>
  <si>
    <t>Recurring Dividend Income: LINE 5 or 1040 LINE 3b (2019 and 2018), LINE 9a (2017)</t>
  </si>
  <si>
    <t>C19</t>
  </si>
  <si>
    <t>Net Profit (Loss): LINE 31</t>
  </si>
  <si>
    <t>https://www.mgic.com/-/media/MGIC/seb/71-8847_seb_manual_2018.pdf#page=23&amp;view=fit</t>
  </si>
  <si>
    <t>C20</t>
  </si>
  <si>
    <t>Deduct nonrecurring income/add nonrecurring loss or expense: LINE 6</t>
  </si>
  <si>
    <t>C21</t>
  </si>
  <si>
    <t>Depletion: LINE 12</t>
  </si>
  <si>
    <t>https://www.mgic.com/-/media/MGIC/seb/71-8847_seb_manual_2018.pdf#page=25&amp;view=fit</t>
  </si>
  <si>
    <t>C22</t>
  </si>
  <si>
    <t>Depreciation: LINE 13</t>
  </si>
  <si>
    <t>C23</t>
  </si>
  <si>
    <t>Meals or Meals and Entertainment Exclusion: LINE 24b</t>
  </si>
  <si>
    <t>C24</t>
  </si>
  <si>
    <t>Business Use of Home: LINE 30</t>
  </si>
  <si>
    <t>C25</t>
  </si>
  <si>
    <t>Business Miles: page 2, part IV, LINE 44a</t>
  </si>
  <si>
    <t>https://www.mgic.com/-/media/MGIC/seb/71-8847_seb_manual_2018.pdf#page=27&amp;view=fit</t>
  </si>
  <si>
    <t>C26</t>
  </si>
  <si>
    <t>x Depreciation Rate 2019: $0.26, 2018: $0.25, 2017: $0.25</t>
  </si>
  <si>
    <t>C27</t>
  </si>
  <si>
    <t>= Total Mileage Depreciation</t>
  </si>
  <si>
    <t>C28</t>
  </si>
  <si>
    <t>Amortization/Casualty Loss (only if noted): page 2, part V</t>
  </si>
  <si>
    <t>C34</t>
  </si>
  <si>
    <t>C35</t>
  </si>
  <si>
    <t>C36</t>
  </si>
  <si>
    <t>C37</t>
  </si>
  <si>
    <t>C38</t>
  </si>
  <si>
    <t>C39</t>
  </si>
  <si>
    <t>C40</t>
  </si>
  <si>
    <t>C41</t>
  </si>
  <si>
    <t>C42</t>
  </si>
  <si>
    <t>C43</t>
  </si>
  <si>
    <t>C49</t>
  </si>
  <si>
    <t>C50</t>
  </si>
  <si>
    <t>C51</t>
  </si>
  <si>
    <t>C52</t>
  </si>
  <si>
    <t>C53</t>
  </si>
  <si>
    <t>C54</t>
  </si>
  <si>
    <t>C55</t>
  </si>
  <si>
    <t>C56</t>
  </si>
  <si>
    <t>C57</t>
  </si>
  <si>
    <t>C58</t>
  </si>
  <si>
    <t>C64</t>
  </si>
  <si>
    <t>C65</t>
  </si>
  <si>
    <t>C66</t>
  </si>
  <si>
    <t>C67</t>
  </si>
  <si>
    <t>C68</t>
  </si>
  <si>
    <t>C69</t>
  </si>
  <si>
    <t>C70</t>
  </si>
  <si>
    <t>C71</t>
  </si>
  <si>
    <t>C72</t>
  </si>
  <si>
    <t>C73</t>
  </si>
  <si>
    <t>C80</t>
  </si>
  <si>
    <t>Recurring Capital Gains (Loss): page 2, LINE 16 (details on FORM 8949)</t>
  </si>
  <si>
    <t>https://www.mgic.com/-/media/MGIC/seb/71-8847_seb_manual_2018.pdf#page=33&amp;view=fit</t>
  </si>
  <si>
    <t>C87</t>
  </si>
  <si>
    <t>Royalty Income (Loss): LINE 4</t>
  </si>
  <si>
    <t>https://www.mgic.com/-/media/MGIC/seb/71-8847_seb_manual_2018.pdf#page=37&amp;view=fit</t>
  </si>
  <si>
    <t>C88</t>
  </si>
  <si>
    <t>Total Expenses: LINE 20</t>
  </si>
  <si>
    <t>C89</t>
  </si>
  <si>
    <t>Depletion: LINE 18</t>
  </si>
  <si>
    <t>C96</t>
  </si>
  <si>
    <t>Net Profit (Loss): LINE 34</t>
  </si>
  <si>
    <t>https://www.mgic.com/-/media/MGIC/seb/71-8847_seb_manual_2018.pdf#page=45&amp;view=fit</t>
  </si>
  <si>
    <t>C97</t>
  </si>
  <si>
    <t>Non-Tax Portion Ongoing Co-op &amp; CCC Pmts: LINES 3a minus b through 6a minus b</t>
  </si>
  <si>
    <t>C98</t>
  </si>
  <si>
    <t xml:space="preserve">Deduct nonrecurring income/add nonrecurring loss: LINE 8 </t>
  </si>
  <si>
    <t>C99</t>
  </si>
  <si>
    <t xml:space="preserve">Depreciation: LINE 14 </t>
  </si>
  <si>
    <t>C100</t>
  </si>
  <si>
    <t>Amortization/Casualty Loss/Depletion (only if noted): LINE 32</t>
  </si>
  <si>
    <t>C101</t>
  </si>
  <si>
    <t>Business Use of Home (only if noted): LINE 32</t>
  </si>
  <si>
    <t>C112</t>
  </si>
  <si>
    <t>Ordinary Income (Loss): LINE 1  If &gt; Distributions see additional requirements.</t>
  </si>
  <si>
    <t>https://www.mgic.com/-/media/MGIC/seb/71-8847_seb_manual_2018.pdf#page=55&amp;view=fit</t>
  </si>
  <si>
    <t>C113</t>
  </si>
  <si>
    <t>Net Rental Income (Loss): LINES 2 &amp; 3  If &gt; Distributions see additional requirements.</t>
  </si>
  <si>
    <t>C114</t>
  </si>
  <si>
    <t>Guaranteed Payments to Partner: LINE 4</t>
  </si>
  <si>
    <t>C120</t>
  </si>
  <si>
    <t>Wages: W-2, Box 5 (in general)</t>
  </si>
  <si>
    <t>https://www.mgic.com/-/media/MGIC/seb/71-8847_seb_manual_2018.pdf#page=13&amp;view=fit</t>
  </si>
  <si>
    <t>C124</t>
  </si>
  <si>
    <t xml:space="preserve">Passthrough (Income) Loss from Other Partnerships: LINE 4 </t>
  </si>
  <si>
    <t>https://www.mgic.com/-/media/MGIC/seb/71-8847_seb_manual_2018.pdf#page=59&amp;view=fit</t>
  </si>
  <si>
    <t>C125</t>
  </si>
  <si>
    <t>Deduct nonrecurring income/add nonrecurring loss: LINES 5, 6 &amp; 7</t>
  </si>
  <si>
    <t>C126</t>
  </si>
  <si>
    <t>Depreciation: LINE 16c</t>
  </si>
  <si>
    <t>C127</t>
  </si>
  <si>
    <t>Depreciation (FORM 8825): LINE 14</t>
  </si>
  <si>
    <t>https://www.mgic.com/-/media/MGIC/seb/71-8847_seb_manual_2018.pdf#page=77&amp;view=fit</t>
  </si>
  <si>
    <t>C128</t>
  </si>
  <si>
    <t>Depletion: LINE 17</t>
  </si>
  <si>
    <t>C129</t>
  </si>
  <si>
    <t>Amortization/Casualty Loss (only if noted): LINE 20 from attached statement</t>
  </si>
  <si>
    <t>C130</t>
  </si>
  <si>
    <t>Mortgages or Notes Payable in Less Than 1 Year: Schedule L, LINE 16, Column d</t>
  </si>
  <si>
    <t>https://www.mgic.com/-/media/MGIC/seb/71-8847_seb_manual_2018.pdf#page=63&amp;view=fit</t>
  </si>
  <si>
    <t>C131</t>
  </si>
  <si>
    <t>Travel and Entertainment Exclusion: Schedule M-1, LINE 4b</t>
  </si>
  <si>
    <t>C144</t>
  </si>
  <si>
    <t>C145</t>
  </si>
  <si>
    <t>C146</t>
  </si>
  <si>
    <t>C152</t>
  </si>
  <si>
    <t>C156</t>
  </si>
  <si>
    <t>C157</t>
  </si>
  <si>
    <t>C158</t>
  </si>
  <si>
    <t>C159</t>
  </si>
  <si>
    <t>C160</t>
  </si>
  <si>
    <t>C161</t>
  </si>
  <si>
    <t>C162</t>
  </si>
  <si>
    <t>C163</t>
  </si>
  <si>
    <t>C176</t>
  </si>
  <si>
    <t>C177</t>
  </si>
  <si>
    <t>C178</t>
  </si>
  <si>
    <t>C184</t>
  </si>
  <si>
    <t>C188</t>
  </si>
  <si>
    <t>C189</t>
  </si>
  <si>
    <t>C190</t>
  </si>
  <si>
    <t>C191</t>
  </si>
  <si>
    <t>C192</t>
  </si>
  <si>
    <t>C193</t>
  </si>
  <si>
    <t>C194</t>
  </si>
  <si>
    <t>C195</t>
  </si>
  <si>
    <t>C208</t>
  </si>
  <si>
    <t>C209</t>
  </si>
  <si>
    <t>C210</t>
  </si>
  <si>
    <t>C216</t>
  </si>
  <si>
    <t>C220</t>
  </si>
  <si>
    <t>C221</t>
  </si>
  <si>
    <t>C222</t>
  </si>
  <si>
    <t>C223</t>
  </si>
  <si>
    <t>C224</t>
  </si>
  <si>
    <t>C225</t>
  </si>
  <si>
    <t>C226</t>
  </si>
  <si>
    <t>C227</t>
  </si>
  <si>
    <t>C240</t>
  </si>
  <si>
    <t>C241</t>
  </si>
  <si>
    <t>C242</t>
  </si>
  <si>
    <t>C248</t>
  </si>
  <si>
    <t>C252</t>
  </si>
  <si>
    <t>C253</t>
  </si>
  <si>
    <t>C254</t>
  </si>
  <si>
    <t>C255</t>
  </si>
  <si>
    <t>C256</t>
  </si>
  <si>
    <t>C257</t>
  </si>
  <si>
    <t>C258</t>
  </si>
  <si>
    <t>C259</t>
  </si>
  <si>
    <t>C272</t>
  </si>
  <si>
    <t>C273</t>
  </si>
  <si>
    <t>C274</t>
  </si>
  <si>
    <t>C280</t>
  </si>
  <si>
    <t>C284</t>
  </si>
  <si>
    <t>C285</t>
  </si>
  <si>
    <t>C286</t>
  </si>
  <si>
    <t>C287</t>
  </si>
  <si>
    <t>C288</t>
  </si>
  <si>
    <t>C289</t>
  </si>
  <si>
    <t>C290</t>
  </si>
  <si>
    <t>C291</t>
  </si>
  <si>
    <t>C306</t>
  </si>
  <si>
    <t>https://www.mgic.com/-/media/MGIC/seb/71-8847_seb_manual_2018.pdf#page=65&amp;view=fit</t>
  </si>
  <si>
    <t>C307</t>
  </si>
  <si>
    <t>https://www.mgic.com/-/media/MGIC/seb/71-8847_seb_manual_2018.pdf#page=67&amp;view=fit</t>
  </si>
  <si>
    <t>C313</t>
  </si>
  <si>
    <t>C317</t>
  </si>
  <si>
    <t>Deduct nonrecurring income/add nonrecurring loss: LINES 4 &amp; 5</t>
  </si>
  <si>
    <t>https://www.mgic.com/-/media/MGIC/seb/71-8847_seb_manual_2018.pdf#page=69&amp;view=fit</t>
  </si>
  <si>
    <t>C318</t>
  </si>
  <si>
    <t>Depreciation: LINE 14</t>
  </si>
  <si>
    <t>C319</t>
  </si>
  <si>
    <t>C320</t>
  </si>
  <si>
    <t>Depletion: LINE 15</t>
  </si>
  <si>
    <t>C321</t>
  </si>
  <si>
    <t>Amortization/Casualty Loss (only if noted): LINE 19 from attached statement</t>
  </si>
  <si>
    <t>C322</t>
  </si>
  <si>
    <t>Mortgages or Notes Payable in Less Than 1 Year: Schedule L, LINE 17, Column d</t>
  </si>
  <si>
    <t>https://www.mgic.com/-/media/MGIC/seb/71-8847_seb_manual_2018.pdf#page=73&amp;view=fit</t>
  </si>
  <si>
    <t>C323</t>
  </si>
  <si>
    <t>Travel and Entertainment Exclusion: Schedule M-1, LINE 3b</t>
  </si>
  <si>
    <t>https://www.mgic.com/-/media/MGIC/seb/71-8847_seb_manual_2018.pdf#page=75&amp;view=fit</t>
  </si>
  <si>
    <t>C336</t>
  </si>
  <si>
    <t>C337</t>
  </si>
  <si>
    <t>C343</t>
  </si>
  <si>
    <t>C347</t>
  </si>
  <si>
    <t>C348</t>
  </si>
  <si>
    <t>C349</t>
  </si>
  <si>
    <t>C350</t>
  </si>
  <si>
    <t>C351</t>
  </si>
  <si>
    <t>C352</t>
  </si>
  <si>
    <t>C353</t>
  </si>
  <si>
    <t>C366</t>
  </si>
  <si>
    <t>C367</t>
  </si>
  <si>
    <t>C373</t>
  </si>
  <si>
    <t>C377</t>
  </si>
  <si>
    <t>C378</t>
  </si>
  <si>
    <t>C379</t>
  </si>
  <si>
    <t>C380</t>
  </si>
  <si>
    <t>C381</t>
  </si>
  <si>
    <t>C382</t>
  </si>
  <si>
    <t>C383</t>
  </si>
  <si>
    <t>C396</t>
  </si>
  <si>
    <t>C397</t>
  </si>
  <si>
    <t>C403</t>
  </si>
  <si>
    <t>C407</t>
  </si>
  <si>
    <t>C408</t>
  </si>
  <si>
    <t>C409</t>
  </si>
  <si>
    <t>C410</t>
  </si>
  <si>
    <t>C411</t>
  </si>
  <si>
    <t>C412</t>
  </si>
  <si>
    <t>C413</t>
  </si>
  <si>
    <t>C426</t>
  </si>
  <si>
    <t>C427</t>
  </si>
  <si>
    <t>C433</t>
  </si>
  <si>
    <t>C437</t>
  </si>
  <si>
    <t>C438</t>
  </si>
  <si>
    <t>C439</t>
  </si>
  <si>
    <t>C440</t>
  </si>
  <si>
    <t>C441</t>
  </si>
  <si>
    <t>C442</t>
  </si>
  <si>
    <t>C443</t>
  </si>
  <si>
    <t>C456</t>
  </si>
  <si>
    <t>C457</t>
  </si>
  <si>
    <t>C463</t>
  </si>
  <si>
    <t>C467</t>
  </si>
  <si>
    <t>C468</t>
  </si>
  <si>
    <t>C469</t>
  </si>
  <si>
    <t>C470</t>
  </si>
  <si>
    <t>C471</t>
  </si>
  <si>
    <t>C472</t>
  </si>
  <si>
    <t>C473</t>
  </si>
  <si>
    <t>C488</t>
  </si>
  <si>
    <t>C492</t>
  </si>
  <si>
    <t>Taxable Income: LINE 30</t>
  </si>
  <si>
    <t>https://www.mgic.com/-/media/MGIC/seb/71-8847_seb_manual_2018.pdf#page=79&amp;view=fit</t>
  </si>
  <si>
    <t>C493</t>
  </si>
  <si>
    <t>Total Tax: LINE 31</t>
  </si>
  <si>
    <t>C494</t>
  </si>
  <si>
    <t>Deduct nonrecurring gains/add nonrecurring losses: LINES 8 &amp; 9</t>
  </si>
  <si>
    <t>C495</t>
  </si>
  <si>
    <t>Deduct nonrecurring income/add nonrecurring loss: LINE 10</t>
  </si>
  <si>
    <t>C496</t>
  </si>
  <si>
    <t>Depreciation: LINE 20</t>
  </si>
  <si>
    <t>C497</t>
  </si>
  <si>
    <t>Depletion: LINE 21</t>
  </si>
  <si>
    <t>C498</t>
  </si>
  <si>
    <t>Domestic Production Activities Deduction: LINE 25 (2017)</t>
  </si>
  <si>
    <t>https://www.mgic.com/-/media/MGIC/seb/71-8847_seb_manual_2018.pdf#page=81&amp;view=fit</t>
  </si>
  <si>
    <t>C499</t>
  </si>
  <si>
    <t>Amortization/Casualty Loss (only if noted): LINE 26 from attached schedule</t>
  </si>
  <si>
    <t>C500</t>
  </si>
  <si>
    <t>Net Operating Loss and Special Deductions: LINES 29a &amp; b</t>
  </si>
  <si>
    <t>C501</t>
  </si>
  <si>
    <t>https://www.mgic.com/-/media/MGIC/seb/71-8847_seb_manual_2018.pdf#page=85&amp;view=fit</t>
  </si>
  <si>
    <t>C502</t>
  </si>
  <si>
    <t>Travel and Entertainment Exclusion: Schedule M-1, LINE 5c</t>
  </si>
  <si>
    <t>C507</t>
  </si>
  <si>
    <t>Dividends Paid to Borrower: Form 1040, Schedule B, LINE 5</t>
  </si>
  <si>
    <t>C516</t>
  </si>
  <si>
    <t>C520</t>
  </si>
  <si>
    <t>C521</t>
  </si>
  <si>
    <t>C522</t>
  </si>
  <si>
    <t>C523</t>
  </si>
  <si>
    <t>C524</t>
  </si>
  <si>
    <t>C525</t>
  </si>
  <si>
    <t>C526</t>
  </si>
  <si>
    <t>C527</t>
  </si>
  <si>
    <t>C528</t>
  </si>
  <si>
    <t>C529</t>
  </si>
  <si>
    <t>C530</t>
  </si>
  <si>
    <t>C535</t>
  </si>
  <si>
    <t>C544</t>
  </si>
  <si>
    <t>C548</t>
  </si>
  <si>
    <t>C549</t>
  </si>
  <si>
    <t>C550</t>
  </si>
  <si>
    <t>C551</t>
  </si>
  <si>
    <t>C552</t>
  </si>
  <si>
    <t>C553</t>
  </si>
  <si>
    <t>C554</t>
  </si>
  <si>
    <t>C555</t>
  </si>
  <si>
    <t>C556</t>
  </si>
  <si>
    <t>C557</t>
  </si>
  <si>
    <t>C558</t>
  </si>
  <si>
    <t>C563</t>
  </si>
  <si>
    <t xml:space="preserve">  BORROWER AND/OR CO-BORROWER NAME:</t>
  </si>
  <si>
    <t xml:space="preserve">  DATE: </t>
  </si>
  <si>
    <r>
      <t xml:space="preserve">Depreciation:  </t>
    </r>
    <r>
      <rPr>
        <b/>
        <sz val="12"/>
        <color rgb="FF00B398"/>
        <rFont val="Calibri"/>
        <family val="2"/>
        <scheme val="minor"/>
      </rPr>
      <t>Schedule E Line 18</t>
    </r>
  </si>
  <si>
    <r>
      <t xml:space="preserve">Taxes:  </t>
    </r>
    <r>
      <rPr>
        <b/>
        <sz val="12"/>
        <color rgb="FF00B398"/>
        <rFont val="Calibri"/>
        <family val="2"/>
        <scheme val="minor"/>
      </rPr>
      <t>Schedule E Line 16</t>
    </r>
  </si>
  <si>
    <r>
      <t xml:space="preserve">Mortgage Interest:  </t>
    </r>
    <r>
      <rPr>
        <b/>
        <sz val="12"/>
        <color rgb="FF00B398"/>
        <rFont val="Calibri"/>
        <family val="2"/>
        <scheme val="minor"/>
      </rPr>
      <t>Schedule E Lines 12 &amp; 13</t>
    </r>
  </si>
  <si>
    <r>
      <t xml:space="preserve">Insurance:  </t>
    </r>
    <r>
      <rPr>
        <b/>
        <sz val="12"/>
        <color rgb="FF00B398"/>
        <rFont val="Calibri"/>
        <family val="2"/>
        <scheme val="minor"/>
      </rPr>
      <t>Schedule E Line 9</t>
    </r>
  </si>
  <si>
    <t>Amortization/Casualty Loss/HOA Dues, if applicable:  Schedule E Line 19</t>
  </si>
  <si>
    <t>Lease Agreement (or alternate)</t>
  </si>
  <si>
    <t>Gross Monthly Rent</t>
  </si>
  <si>
    <t>Vacancy Factor (25%)</t>
  </si>
  <si>
    <t>Adjusted Monthly Rent</t>
  </si>
  <si>
    <t>Investment Property</t>
  </si>
  <si>
    <t>Monthly PITIA</t>
  </si>
  <si>
    <t xml:space="preserve"> Rental Income Worksheet</t>
  </si>
  <si>
    <t>In general, investors require analysis of the most recent tax year for net rental income (loss).
For your convenience, average monthly rental figures are provided.</t>
  </si>
  <si>
    <t>Primary Residence (2 - 4 unit)</t>
  </si>
  <si>
    <t>Business Rental</t>
  </si>
  <si>
    <t>Form 8825</t>
  </si>
  <si>
    <r>
      <t xml:space="preserve">Depreciation:  </t>
    </r>
    <r>
      <rPr>
        <b/>
        <sz val="12"/>
        <color rgb="FF00B398"/>
        <rFont val="Calibri"/>
        <family val="2"/>
        <scheme val="minor"/>
      </rPr>
      <t>Form 8825 Line 14</t>
    </r>
  </si>
  <si>
    <r>
      <t xml:space="preserve">Taxes:  </t>
    </r>
    <r>
      <rPr>
        <b/>
        <sz val="12"/>
        <color rgb="FF00B398"/>
        <rFont val="Calibri"/>
        <family val="2"/>
        <scheme val="minor"/>
      </rPr>
      <t>Form 8825 Line 11</t>
    </r>
  </si>
  <si>
    <r>
      <t xml:space="preserve">Insurance:  </t>
    </r>
    <r>
      <rPr>
        <b/>
        <sz val="12"/>
        <color rgb="FF00B398"/>
        <rFont val="Calibri"/>
        <family val="2"/>
        <scheme val="minor"/>
      </rPr>
      <t>Form 8825 Line 7</t>
    </r>
  </si>
  <si>
    <t>Amortization/Casualty Loss/HOA Dues, if applicable:  Form 8825 Line 15</t>
  </si>
  <si>
    <t>SECTION</t>
  </si>
  <si>
    <t>COL_REF</t>
  </si>
  <si>
    <t>ROW_NUM</t>
  </si>
  <si>
    <t>LINE_TEXT</t>
  </si>
  <si>
    <t>PAGE_LINK</t>
  </si>
  <si>
    <t>Depreciation</t>
  </si>
  <si>
    <t>#page77</t>
  </si>
  <si>
    <t>Row #</t>
  </si>
  <si>
    <t>Line Text</t>
  </si>
  <si>
    <t>Link</t>
  </si>
  <si>
    <t>Primary Residence Schedule E</t>
  </si>
  <si>
    <t>Income (loss)</t>
  </si>
  <si>
    <t>#page39</t>
  </si>
  <si>
    <t>Taxes</t>
  </si>
  <si>
    <t>Mortgage Interest</t>
  </si>
  <si>
    <t>Insurance</t>
  </si>
  <si>
    <t>Other</t>
  </si>
  <si>
    <t>Investment Property Schedule E</t>
  </si>
  <si>
    <t>Business Rental Form 8825</t>
  </si>
  <si>
    <t>C</t>
  </si>
  <si>
    <r>
      <t xml:space="preserve">Rents Received:  </t>
    </r>
    <r>
      <rPr>
        <b/>
        <sz val="12"/>
        <color rgb="FF00B398"/>
        <rFont val="Calibri"/>
        <family val="2"/>
        <scheme val="minor"/>
      </rPr>
      <t>Schedule E Line 3</t>
    </r>
  </si>
  <si>
    <r>
      <t xml:space="preserve">Total Expenses:  </t>
    </r>
    <r>
      <rPr>
        <b/>
        <sz val="12"/>
        <color rgb="FF00B398"/>
        <rFont val="Calibri"/>
        <family val="2"/>
        <scheme val="minor"/>
      </rPr>
      <t>Schedule E Line 20</t>
    </r>
  </si>
  <si>
    <r>
      <t xml:space="preserve">Gross Rents:  </t>
    </r>
    <r>
      <rPr>
        <b/>
        <sz val="12"/>
        <color rgb="FF00B398"/>
        <rFont val="Calibri"/>
        <family val="2"/>
        <scheme val="minor"/>
      </rPr>
      <t>Form 8825 Line 2</t>
    </r>
  </si>
  <si>
    <r>
      <t xml:space="preserve">Total Expenses:  </t>
    </r>
    <r>
      <rPr>
        <b/>
        <sz val="12"/>
        <color rgb="FF00B398"/>
        <rFont val="Calibri"/>
        <family val="2"/>
        <scheme val="minor"/>
      </rPr>
      <t>Form 8825 Line 16</t>
    </r>
  </si>
  <si>
    <r>
      <t xml:space="preserve">Interest:  </t>
    </r>
    <r>
      <rPr>
        <b/>
        <sz val="12"/>
        <color rgb="FF00B398"/>
        <rFont val="Calibri"/>
        <family val="2"/>
        <scheme val="minor"/>
      </rPr>
      <t>Form 8825 Line 9</t>
    </r>
  </si>
  <si>
    <t>Based on the usage of the property(ies), complete your rental analysis using Schedule E, 
Lease Agreement (or alternate), or Form 8825, as required by your investor. 
(For Schedule E – Traditional Method complete rows 15-18 &amp; 22).</t>
  </si>
  <si>
    <t>Rents Received</t>
  </si>
  <si>
    <t>Total Expenses</t>
  </si>
  <si>
    <t>Rents received</t>
  </si>
  <si>
    <t>Total expenses</t>
  </si>
  <si>
    <t>Gross Rents</t>
  </si>
  <si>
    <t xml:space="preserve">        BORROWER NAME:</t>
  </si>
  <si>
    <t xml:space="preserve">DATE: </t>
  </si>
  <si>
    <t>Select the Year(s):</t>
  </si>
  <si>
    <t>COMPLETED BY:</t>
  </si>
  <si>
    <t>https://www.mgic.com/-/media/MGIC/seb/22-25001_rental_income_worksheet-2021.pdf</t>
  </si>
  <si>
    <t>22-25001_rental_income_worksheet-2021.pdf</t>
  </si>
  <si>
    <t>#page1</t>
  </si>
  <si>
    <t>#page2</t>
  </si>
  <si>
    <t>DATE</t>
  </si>
  <si>
    <t>NOTES_BY</t>
  </si>
  <si>
    <t>NOTE</t>
  </si>
  <si>
    <t>Brian J. Torreano (BT)</t>
  </si>
  <si>
    <t>For updates to hyperlinks on the Rental worksheet, open the '_HYPER_LKP_NEW_' worksheet and update the document, page numbers and links.  This updates the links throughout the Rental page.  After hyperlinks have been fixed, run the 'URLSetScreenTips' macro to update the screentips.</t>
  </si>
  <si>
    <t>20220206_1955</t>
  </si>
  <si>
    <t>Number of Months:  Maximum 12</t>
  </si>
  <si>
    <r>
      <t xml:space="preserve">Comments / Notes  </t>
    </r>
    <r>
      <rPr>
        <b/>
        <i/>
        <sz val="12"/>
        <color theme="1"/>
        <rFont val="Calibri"/>
        <family val="2"/>
        <scheme val="minor"/>
      </rPr>
      <t>(For a new line, hold Alt and press Enter)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</si>
</sst>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
  </numFmts>
  <fonts count="24" x14ac:knownFonts="1">
    <font>
      <sz val="11"/>
      <color theme="1"/>
      <name val="Calibri"/>
      <family val="2"/>
      <scheme val="minor"/>
    </font>
    <font>
      <b/>
      <sz val="11"/>
      <color theme="1"/>
      <name val="Calibri"/>
      <family val="2"/>
      <scheme val="minor"/>
    </font>
    <font>
      <b/>
      <sz val="26"/>
      <color rgb="FF0A3A5C"/>
      <name val="Calibri"/>
      <family val="2"/>
      <scheme val="minor"/>
    </font>
    <font>
      <b/>
      <sz val="14"/>
      <color theme="1"/>
      <name val="Calibri"/>
      <family val="2"/>
      <scheme val="minor"/>
    </font>
    <font>
      <b/>
      <sz val="11"/>
      <color rgb="FF3F3F3F"/>
      <name val="Calibri"/>
      <family val="2"/>
      <scheme val="minor"/>
    </font>
    <font>
      <b/>
      <sz val="11"/>
      <color theme="0"/>
      <name val="Calibri"/>
      <family val="2"/>
      <scheme val="minor"/>
    </font>
    <font>
      <b/>
      <sz val="12"/>
      <color theme="1"/>
      <name val="Calibri"/>
      <family val="2"/>
      <scheme val="minor"/>
    </font>
    <font>
      <sz val="14"/>
      <color theme="1"/>
      <name val="Calibri"/>
      <family val="2"/>
      <scheme val="minor"/>
    </font>
    <font>
      <b/>
      <sz val="12"/>
      <color theme="0"/>
      <name val="Calibri"/>
      <family val="2"/>
      <scheme val="minor"/>
    </font>
    <font>
      <b/>
      <sz val="11"/>
      <name val="Calibri"/>
      <family val="2"/>
      <scheme val="minor"/>
    </font>
    <font>
      <b/>
      <sz val="28"/>
      <name val="Calibri"/>
      <family val="2"/>
      <scheme val="minor"/>
    </font>
    <font>
      <b/>
      <sz val="12"/>
      <name val="Calibri"/>
      <family val="2"/>
      <scheme val="minor"/>
    </font>
    <font>
      <sz val="11"/>
      <name val="Calibri"/>
      <family val="2"/>
      <scheme val="minor"/>
    </font>
    <font>
      <b/>
      <sz val="11.5"/>
      <color theme="1"/>
      <name val="Calibri"/>
      <family val="2"/>
      <scheme val="minor"/>
    </font>
    <font>
      <b/>
      <sz val="12"/>
      <color rgb="FF00B398"/>
      <name val="Calibri"/>
      <family val="2"/>
      <scheme val="minor"/>
    </font>
    <font>
      <u/>
      <sz val="11"/>
      <color theme="10"/>
      <name val="Calibri"/>
      <family val="2"/>
      <scheme val="minor"/>
    </font>
    <font>
      <b/>
      <sz val="12"/>
      <color rgb="FF000000"/>
      <name val="Calibri"/>
      <family val="2"/>
      <scheme val="minor"/>
    </font>
    <font>
      <b/>
      <sz val="14"/>
      <color theme="0"/>
      <name val="Calibri"/>
      <family val="2"/>
      <scheme val="minor"/>
    </font>
    <font>
      <b/>
      <i/>
      <sz val="12"/>
      <color theme="0" tint="-0.34998626667073579"/>
      <name val="Calibri"/>
      <family val="2"/>
      <scheme val="minor"/>
    </font>
    <font>
      <b/>
      <i/>
      <sz val="11"/>
      <color theme="0" tint="-0.34998626667073579"/>
      <name val="Calibri"/>
      <family val="2"/>
      <scheme val="minor"/>
    </font>
    <font>
      <i/>
      <sz val="11"/>
      <color theme="0" tint="-0.34998626667073579"/>
      <name val="Calibri"/>
      <family val="2"/>
      <scheme val="minor"/>
    </font>
    <font>
      <sz val="12"/>
      <color theme="1"/>
      <name val="Calibri"/>
      <family val="2"/>
      <scheme val="minor"/>
    </font>
    <font>
      <b/>
      <sz val="18"/>
      <color theme="1"/>
      <name val="Calibri"/>
      <family val="2"/>
      <scheme val="minor"/>
    </font>
    <font>
      <b/>
      <i/>
      <sz val="12"/>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2F2F2"/>
      </patternFill>
    </fill>
    <fill>
      <patternFill patternType="solid">
        <fgColor rgb="FFDDDDDD"/>
        <bgColor indexed="64"/>
      </patternFill>
    </fill>
    <fill>
      <patternFill patternType="solid">
        <fgColor rgb="FFE2E2E2"/>
        <bgColor indexed="64"/>
      </patternFill>
    </fill>
    <fill>
      <patternFill patternType="solid">
        <fgColor theme="0"/>
        <bgColor indexed="64"/>
      </patternFill>
    </fill>
    <fill>
      <patternFill patternType="solid">
        <fgColor theme="0" tint="-4.9989318521683403E-2"/>
        <bgColor indexed="64"/>
      </patternFill>
    </fill>
    <fill>
      <patternFill patternType="solid">
        <fgColor rgb="FF00B398"/>
        <bgColor indexed="64"/>
      </patternFill>
    </fill>
    <fill>
      <patternFill patternType="solid">
        <fgColor rgb="FFC2FEE3"/>
        <bgColor indexed="64"/>
      </patternFill>
    </fill>
  </fills>
  <borders count="54">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medium">
        <color rgb="FF00B398"/>
      </bottom>
      <diagonal/>
    </border>
    <border>
      <left style="medium">
        <color rgb="FF00B398"/>
      </left>
      <right style="medium">
        <color rgb="FF00B398"/>
      </right>
      <top style="medium">
        <color rgb="FF00B398"/>
      </top>
      <bottom style="medium">
        <color rgb="FF00B398"/>
      </bottom>
      <diagonal/>
    </border>
    <border>
      <left style="medium">
        <color rgb="FF00B398"/>
      </left>
      <right/>
      <top style="medium">
        <color rgb="FF00B398"/>
      </top>
      <bottom style="medium">
        <color rgb="FF00B398"/>
      </bottom>
      <diagonal/>
    </border>
    <border>
      <left/>
      <right/>
      <top style="medium">
        <color rgb="FF00B398"/>
      </top>
      <bottom style="medium">
        <color rgb="FF00B398"/>
      </bottom>
      <diagonal/>
    </border>
    <border>
      <left/>
      <right style="medium">
        <color rgb="FF00B398"/>
      </right>
      <top style="medium">
        <color rgb="FF00B398"/>
      </top>
      <bottom style="medium">
        <color rgb="FF00B398"/>
      </bottom>
      <diagonal/>
    </border>
    <border>
      <left/>
      <right/>
      <top style="medium">
        <color rgb="FF00B398"/>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top style="thin">
        <color auto="1"/>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auto="1"/>
      </bottom>
      <diagonal/>
    </border>
    <border>
      <left style="medium">
        <color indexed="64"/>
      </left>
      <right/>
      <top style="thin">
        <color indexed="64"/>
      </top>
      <bottom style="medium">
        <color indexed="64"/>
      </bottom>
      <diagonal/>
    </border>
    <border>
      <left style="thin">
        <color theme="0"/>
      </left>
      <right/>
      <top/>
      <bottom/>
      <diagonal/>
    </border>
    <border>
      <left/>
      <right style="thin">
        <color theme="0"/>
      </right>
      <top/>
      <bottom/>
      <diagonal/>
    </border>
    <border>
      <left/>
      <right/>
      <top style="medium">
        <color auto="1"/>
      </top>
      <bottom/>
      <diagonal/>
    </border>
    <border>
      <left style="medium">
        <color indexed="64"/>
      </left>
      <right/>
      <top/>
      <bottom style="medium">
        <color rgb="FF00B398"/>
      </bottom>
      <diagonal/>
    </border>
    <border>
      <left style="medium">
        <color indexed="64"/>
      </left>
      <right style="thin">
        <color indexed="64"/>
      </right>
      <top/>
      <bottom/>
      <diagonal/>
    </border>
    <border>
      <left/>
      <right style="medium">
        <color indexed="64"/>
      </right>
      <top/>
      <bottom style="medium">
        <color rgb="FF00B398"/>
      </bottom>
      <diagonal/>
    </border>
    <border>
      <left style="thin">
        <color indexed="64"/>
      </left>
      <right/>
      <top style="medium">
        <color rgb="FF00B398"/>
      </top>
      <bottom style="thin">
        <color auto="1"/>
      </bottom>
      <diagonal/>
    </border>
    <border>
      <left/>
      <right/>
      <top style="medium">
        <color rgb="FF00B398"/>
      </top>
      <bottom style="thin">
        <color auto="1"/>
      </bottom>
      <diagonal/>
    </border>
    <border>
      <left/>
      <right style="medium">
        <color indexed="64"/>
      </right>
      <top style="medium">
        <color rgb="FF00B398"/>
      </top>
      <bottom style="thin">
        <color auto="1"/>
      </bottom>
      <diagonal/>
    </border>
    <border>
      <left/>
      <right style="medium">
        <color auto="1"/>
      </right>
      <top/>
      <bottom style="thin">
        <color indexed="64"/>
      </bottom>
      <diagonal/>
    </border>
    <border>
      <left style="medium">
        <color indexed="64"/>
      </left>
      <right/>
      <top/>
      <bottom style="thin">
        <color indexed="64"/>
      </bottom>
      <diagonal/>
    </border>
    <border>
      <left style="thin">
        <color theme="0"/>
      </left>
      <right style="thin">
        <color theme="0"/>
      </right>
      <top/>
      <bottom/>
      <diagonal/>
    </border>
    <border>
      <left style="thin">
        <color theme="0"/>
      </left>
      <right style="thin">
        <color theme="0"/>
      </right>
      <top style="thin">
        <color theme="0"/>
      </top>
      <bottom/>
      <diagonal/>
    </border>
    <border>
      <left style="medium">
        <color rgb="FF00B398"/>
      </left>
      <right/>
      <top style="medium">
        <color rgb="FF00B398"/>
      </top>
      <bottom/>
      <diagonal/>
    </border>
    <border>
      <left/>
      <right style="medium">
        <color rgb="FF00B398"/>
      </right>
      <top style="medium">
        <color rgb="FF00B398"/>
      </top>
      <bottom/>
      <diagonal/>
    </border>
    <border>
      <left style="medium">
        <color rgb="FF00B398"/>
      </left>
      <right/>
      <top/>
      <bottom/>
      <diagonal/>
    </border>
    <border>
      <left/>
      <right style="medium">
        <color rgb="FF00B398"/>
      </right>
      <top/>
      <bottom/>
      <diagonal/>
    </border>
    <border>
      <left style="medium">
        <color rgb="FF00B398"/>
      </left>
      <right/>
      <top/>
      <bottom style="medium">
        <color rgb="FF00B398"/>
      </bottom>
      <diagonal/>
    </border>
    <border>
      <left/>
      <right style="medium">
        <color rgb="FF00B398"/>
      </right>
      <top/>
      <bottom style="medium">
        <color rgb="FF00B398"/>
      </bottom>
      <diagonal/>
    </border>
    <border>
      <left style="medium">
        <color indexed="64"/>
      </left>
      <right style="thin">
        <color indexed="64"/>
      </right>
      <top style="thin">
        <color indexed="64"/>
      </top>
      <bottom/>
      <diagonal/>
    </border>
    <border>
      <left/>
      <right/>
      <top/>
      <bottom style="thick">
        <color rgb="FF00B398"/>
      </bottom>
      <diagonal/>
    </border>
    <border>
      <left/>
      <right/>
      <top style="thick">
        <color rgb="FF00B398"/>
      </top>
      <bottom style="thick">
        <color rgb="FF00B398"/>
      </bottom>
      <diagonal/>
    </border>
    <border>
      <left style="medium">
        <color rgb="FF00B398"/>
      </left>
      <right/>
      <top style="thick">
        <color rgb="FF00B398"/>
      </top>
      <bottom style="thick">
        <color rgb="FF00B398"/>
      </bottom>
      <diagonal/>
    </border>
    <border>
      <left/>
      <right style="medium">
        <color rgb="FF00B398"/>
      </right>
      <top style="thick">
        <color rgb="FF00B398"/>
      </top>
      <bottom style="thick">
        <color rgb="FF00B398"/>
      </bottom>
      <diagonal/>
    </border>
    <border>
      <left style="medium">
        <color rgb="FF00B398"/>
      </left>
      <right style="medium">
        <color rgb="FF00B398"/>
      </right>
      <top style="thick">
        <color rgb="FF00B398"/>
      </top>
      <bottom style="thick">
        <color rgb="FF00B398"/>
      </bottom>
      <diagonal/>
    </border>
    <border>
      <left/>
      <right/>
      <top style="thick">
        <color rgb="FF00B398"/>
      </top>
      <bottom/>
      <diagonal/>
    </border>
  </borders>
  <cellStyleXfs count="3">
    <xf numFmtId="0" fontId="0" fillId="0" borderId="0"/>
    <xf numFmtId="0" fontId="4" fillId="3" borderId="7" applyNumberFormat="0" applyAlignment="0" applyProtection="0"/>
    <xf numFmtId="0" fontId="15" fillId="0" borderId="0" applyNumberFormat="0" applyFill="0" applyBorder="0" applyAlignment="0" applyProtection="0"/>
  </cellStyleXfs>
  <cellXfs count="213">
    <xf numFmtId="0" fontId="0" fillId="0" borderId="0" xfId="0"/>
    <xf numFmtId="0" fontId="2" fillId="0" borderId="0" xfId="0" applyFont="1"/>
    <xf numFmtId="0" fontId="0" fillId="0" borderId="0" xfId="0" applyAlignment="1">
      <alignment vertical="center"/>
    </xf>
    <xf numFmtId="0" fontId="1" fillId="0" borderId="0" xfId="0" applyFont="1"/>
    <xf numFmtId="0" fontId="0" fillId="0" borderId="0" xfId="0" applyProtection="1"/>
    <xf numFmtId="0" fontId="0" fillId="0" borderId="0" xfId="0" applyAlignment="1" applyProtection="1">
      <alignment vertical="center"/>
    </xf>
    <xf numFmtId="0" fontId="0" fillId="0" borderId="0" xfId="0" applyBorder="1" applyAlignment="1" applyProtection="1">
      <alignment vertical="center"/>
    </xf>
    <xf numFmtId="0" fontId="0" fillId="0" borderId="0" xfId="0" applyFill="1" applyBorder="1" applyAlignment="1" applyProtection="1">
      <alignment vertical="center"/>
    </xf>
    <xf numFmtId="0" fontId="0" fillId="2" borderId="0" xfId="0" applyFill="1"/>
    <xf numFmtId="0" fontId="4" fillId="3" borderId="7" xfId="1"/>
    <xf numFmtId="0" fontId="0" fillId="0" borderId="0" xfId="0" quotePrefix="1"/>
    <xf numFmtId="0" fontId="0" fillId="0" borderId="0" xfId="0" applyBorder="1" applyAlignment="1">
      <alignment vertical="center"/>
    </xf>
    <xf numFmtId="0" fontId="6" fillId="0" borderId="0" xfId="0" applyFont="1" applyBorder="1" applyAlignment="1" applyProtection="1">
      <alignment vertical="center"/>
    </xf>
    <xf numFmtId="0" fontId="6" fillId="0" borderId="0" xfId="0" applyFont="1" applyFill="1" applyBorder="1" applyAlignment="1" applyProtection="1">
      <alignment horizontal="center" vertical="center"/>
    </xf>
    <xf numFmtId="0" fontId="6" fillId="0" borderId="0" xfId="0" applyFont="1" applyFill="1" applyBorder="1" applyAlignment="1" applyProtection="1">
      <alignment vertical="center"/>
    </xf>
    <xf numFmtId="0" fontId="6" fillId="0" borderId="2" xfId="0" applyFont="1" applyBorder="1" applyAlignment="1" applyProtection="1">
      <alignment horizontal="left" vertical="center" indent="1"/>
    </xf>
    <xf numFmtId="0" fontId="1" fillId="6" borderId="0" xfId="0" applyFont="1" applyFill="1" applyBorder="1" applyAlignment="1" applyProtection="1">
      <alignment vertical="center"/>
    </xf>
    <xf numFmtId="0" fontId="1" fillId="6" borderId="0" xfId="0" applyFont="1" applyFill="1" applyBorder="1" applyAlignment="1" applyProtection="1">
      <alignment horizontal="right" vertical="center"/>
    </xf>
    <xf numFmtId="0" fontId="0" fillId="6" borderId="0" xfId="0" applyFill="1" applyBorder="1" applyAlignment="1" applyProtection="1">
      <alignment vertical="center"/>
    </xf>
    <xf numFmtId="0" fontId="0" fillId="6" borderId="0" xfId="0" applyFill="1" applyAlignment="1">
      <alignment vertical="center"/>
    </xf>
    <xf numFmtId="0" fontId="1" fillId="6" borderId="0" xfId="0" applyFont="1" applyFill="1" applyBorder="1" applyAlignment="1" applyProtection="1">
      <alignment horizontal="center" vertical="center"/>
    </xf>
    <xf numFmtId="0" fontId="6" fillId="7" borderId="0" xfId="0" applyFont="1" applyFill="1" applyBorder="1" applyAlignment="1" applyProtection="1">
      <alignment vertical="center"/>
    </xf>
    <xf numFmtId="0" fontId="6" fillId="0" borderId="0" xfId="0" quotePrefix="1" applyFont="1" applyBorder="1" applyAlignment="1" applyProtection="1">
      <alignment horizontal="right" vertical="center"/>
    </xf>
    <xf numFmtId="0" fontId="6" fillId="0" borderId="0" xfId="0" quotePrefix="1" applyFont="1" applyBorder="1" applyAlignment="1" applyProtection="1">
      <alignment horizontal="left" vertical="center"/>
    </xf>
    <xf numFmtId="165" fontId="5" fillId="8" borderId="13" xfId="0" applyNumberFormat="1" applyFont="1" applyFill="1" applyBorder="1" applyAlignment="1" applyProtection="1">
      <alignment vertical="center"/>
    </xf>
    <xf numFmtId="164" fontId="12" fillId="9" borderId="8" xfId="0" applyNumberFormat="1" applyFont="1" applyFill="1" applyBorder="1" applyAlignment="1" applyProtection="1">
      <alignment horizontal="left" vertical="center"/>
      <protection locked="0"/>
    </xf>
    <xf numFmtId="44" fontId="12" fillId="9" borderId="8" xfId="0" applyNumberFormat="1" applyFont="1" applyFill="1" applyBorder="1" applyAlignment="1" applyProtection="1">
      <alignment horizontal="left" vertical="center"/>
      <protection locked="0"/>
    </xf>
    <xf numFmtId="164" fontId="12" fillId="9" borderId="9" xfId="0" applyNumberFormat="1" applyFont="1" applyFill="1" applyBorder="1" applyAlignment="1" applyProtection="1">
      <alignment horizontal="left" vertical="center"/>
      <protection locked="0"/>
    </xf>
    <xf numFmtId="164" fontId="12" fillId="0" borderId="0" xfId="0" applyNumberFormat="1" applyFont="1" applyFill="1" applyBorder="1" applyAlignment="1" applyProtection="1">
      <alignment horizontal="left" vertical="center"/>
    </xf>
    <xf numFmtId="0" fontId="0" fillId="0" borderId="0" xfId="0" applyFont="1" applyBorder="1" applyAlignment="1" applyProtection="1">
      <alignment vertical="center"/>
    </xf>
    <xf numFmtId="164" fontId="12" fillId="0" borderId="0" xfId="0" applyNumberFormat="1" applyFont="1" applyFill="1" applyBorder="1" applyAlignment="1" applyProtection="1">
      <alignment horizontal="center" vertical="center"/>
    </xf>
    <xf numFmtId="0" fontId="6" fillId="0" borderId="0" xfId="0" applyFont="1" applyFill="1" applyBorder="1" applyAlignment="1" applyProtection="1">
      <alignment horizontal="left" vertical="center" wrapText="1" indent="1"/>
    </xf>
    <xf numFmtId="0" fontId="0" fillId="0" borderId="0" xfId="0" applyNumberFormat="1"/>
    <xf numFmtId="0" fontId="8" fillId="8" borderId="13" xfId="0" quotePrefix="1" applyFont="1" applyFill="1" applyBorder="1" applyAlignment="1" applyProtection="1">
      <alignment horizontal="right" vertical="center"/>
    </xf>
    <xf numFmtId="14" fontId="9" fillId="9" borderId="11" xfId="0" applyNumberFormat="1" applyFont="1" applyFill="1" applyBorder="1" applyAlignment="1" applyProtection="1">
      <alignment horizontal="center" vertical="center"/>
      <protection locked="0"/>
    </xf>
    <xf numFmtId="0" fontId="0" fillId="8" borderId="16" xfId="0" applyFill="1" applyBorder="1" applyProtection="1"/>
    <xf numFmtId="0" fontId="0" fillId="8" borderId="4" xfId="0" applyFill="1" applyBorder="1" applyProtection="1"/>
    <xf numFmtId="0" fontId="0" fillId="8" borderId="5" xfId="0" applyFill="1" applyBorder="1"/>
    <xf numFmtId="0" fontId="0" fillId="8" borderId="5" xfId="0" applyFill="1" applyBorder="1" applyProtection="1"/>
    <xf numFmtId="0" fontId="0" fillId="8" borderId="14" xfId="0" applyFill="1" applyBorder="1" applyAlignment="1">
      <alignment vertical="center"/>
    </xf>
    <xf numFmtId="0" fontId="0" fillId="0" borderId="17" xfId="0" applyBorder="1" applyProtection="1"/>
    <xf numFmtId="0" fontId="0" fillId="0" borderId="18" xfId="0" applyBorder="1" applyProtection="1"/>
    <xf numFmtId="0" fontId="0" fillId="0" borderId="18" xfId="0" applyBorder="1" applyAlignment="1" applyProtection="1">
      <alignment vertical="center"/>
    </xf>
    <xf numFmtId="0" fontId="0" fillId="6" borderId="18" xfId="0" applyFill="1" applyBorder="1" applyAlignment="1" applyProtection="1">
      <alignment vertical="center"/>
    </xf>
    <xf numFmtId="0" fontId="0" fillId="0" borderId="19" xfId="0" applyBorder="1"/>
    <xf numFmtId="0" fontId="0" fillId="0" borderId="20" xfId="0" applyBorder="1"/>
    <xf numFmtId="0" fontId="0" fillId="0" borderId="20" xfId="0" applyBorder="1" applyAlignment="1">
      <alignment vertical="center"/>
    </xf>
    <xf numFmtId="0" fontId="0" fillId="6" borderId="20" xfId="0" applyFill="1" applyBorder="1" applyAlignment="1">
      <alignment vertical="center"/>
    </xf>
    <xf numFmtId="0" fontId="0" fillId="0" borderId="19" xfId="0" applyBorder="1" applyProtection="1"/>
    <xf numFmtId="0" fontId="0" fillId="0" borderId="24" xfId="0" applyFill="1" applyBorder="1" applyAlignment="1" applyProtection="1">
      <alignment vertical="center"/>
    </xf>
    <xf numFmtId="0" fontId="0" fillId="4" borderId="25" xfId="0" applyFill="1" applyBorder="1" applyAlignment="1" applyProtection="1">
      <alignment horizontal="center" vertical="center"/>
    </xf>
    <xf numFmtId="0" fontId="0" fillId="6" borderId="20" xfId="0" applyFill="1" applyBorder="1" applyAlignment="1" applyProtection="1">
      <alignment vertical="center"/>
    </xf>
    <xf numFmtId="0" fontId="0" fillId="0" borderId="20" xfId="0" applyBorder="1" applyAlignment="1" applyProtection="1">
      <alignment vertical="center"/>
    </xf>
    <xf numFmtId="0" fontId="0" fillId="0" borderId="18" xfId="0" applyFill="1" applyBorder="1" applyAlignment="1" applyProtection="1">
      <alignment vertical="center"/>
    </xf>
    <xf numFmtId="0" fontId="0" fillId="0" borderId="20" xfId="0" applyFill="1" applyBorder="1" applyAlignment="1" applyProtection="1">
      <alignment vertical="center"/>
    </xf>
    <xf numFmtId="164" fontId="11" fillId="0" borderId="0" xfId="0" applyNumberFormat="1" applyFont="1" applyFill="1" applyBorder="1" applyAlignment="1" applyProtection="1">
      <alignment horizontal="center" vertical="center"/>
    </xf>
    <xf numFmtId="0" fontId="0" fillId="0" borderId="23" xfId="0" applyFill="1" applyBorder="1" applyAlignment="1" applyProtection="1">
      <alignment vertical="center"/>
    </xf>
    <xf numFmtId="0" fontId="0" fillId="0" borderId="22" xfId="0" applyFill="1" applyBorder="1" applyAlignment="1" applyProtection="1">
      <alignment vertical="center"/>
    </xf>
    <xf numFmtId="0" fontId="0" fillId="0" borderId="21" xfId="0" applyFill="1" applyBorder="1" applyAlignment="1" applyProtection="1">
      <alignment vertical="center"/>
    </xf>
    <xf numFmtId="0" fontId="0" fillId="0" borderId="4" xfId="0" applyFill="1" applyBorder="1" applyAlignment="1" applyProtection="1">
      <alignment vertical="center"/>
    </xf>
    <xf numFmtId="0" fontId="9" fillId="0" borderId="9" xfId="0" applyNumberFormat="1" applyFont="1" applyFill="1" applyBorder="1" applyAlignment="1" applyProtection="1">
      <alignment horizontal="center" vertical="center"/>
    </xf>
    <xf numFmtId="164" fontId="12" fillId="0" borderId="8" xfId="0" applyNumberFormat="1" applyFont="1" applyFill="1" applyBorder="1" applyAlignment="1" applyProtection="1">
      <alignment horizontal="left" vertical="center"/>
    </xf>
    <xf numFmtId="44" fontId="12" fillId="0" borderId="8" xfId="0" applyNumberFormat="1" applyFont="1" applyFill="1" applyBorder="1" applyAlignment="1" applyProtection="1">
      <alignment horizontal="left" vertical="center"/>
    </xf>
    <xf numFmtId="0" fontId="0" fillId="0" borderId="30" xfId="0" applyFill="1" applyBorder="1" applyAlignment="1" applyProtection="1">
      <alignment vertical="center"/>
    </xf>
    <xf numFmtId="0" fontId="0" fillId="0" borderId="23" xfId="0" applyBorder="1" applyProtection="1"/>
    <xf numFmtId="0" fontId="0" fillId="0" borderId="27" xfId="0" applyBorder="1" applyProtection="1"/>
    <xf numFmtId="0" fontId="0" fillId="0" borderId="24" xfId="0" applyBorder="1" applyProtection="1"/>
    <xf numFmtId="0" fontId="0" fillId="0" borderId="20" xfId="0" applyBorder="1" applyProtection="1"/>
    <xf numFmtId="0" fontId="0" fillId="0" borderId="30" xfId="0" applyBorder="1" applyAlignment="1" applyProtection="1">
      <alignment vertical="center"/>
    </xf>
    <xf numFmtId="0" fontId="0" fillId="0" borderId="30" xfId="0" applyBorder="1" applyAlignment="1">
      <alignment vertical="center"/>
    </xf>
    <xf numFmtId="0" fontId="18" fillId="0" borderId="2" xfId="0" applyFont="1" applyBorder="1" applyAlignment="1" applyProtection="1">
      <alignment horizontal="left" vertical="center" indent="1"/>
    </xf>
    <xf numFmtId="0" fontId="6" fillId="7" borderId="2" xfId="0" applyFont="1" applyFill="1" applyBorder="1" applyAlignment="1" applyProtection="1">
      <alignment horizontal="left" vertical="center" indent="1"/>
    </xf>
    <xf numFmtId="0" fontId="6" fillId="7" borderId="0" xfId="0" applyFont="1" applyFill="1" applyBorder="1" applyAlignment="1" applyProtection="1">
      <alignment horizontal="center" vertical="center"/>
    </xf>
    <xf numFmtId="0" fontId="6" fillId="0" borderId="0" xfId="0" applyFont="1" applyFill="1" applyBorder="1" applyAlignment="1" applyProtection="1">
      <alignment horizontal="left" vertical="center" indent="1"/>
    </xf>
    <xf numFmtId="0" fontId="18" fillId="0" borderId="0" xfId="0" applyFont="1" applyFill="1" applyBorder="1" applyAlignment="1" applyProtection="1">
      <alignment horizontal="center" vertical="center"/>
    </xf>
    <xf numFmtId="0" fontId="18" fillId="0" borderId="0" xfId="0" applyFont="1" applyBorder="1" applyAlignment="1" applyProtection="1">
      <alignment vertical="center"/>
    </xf>
    <xf numFmtId="164" fontId="18" fillId="0" borderId="0" xfId="0" applyNumberFormat="1" applyFont="1" applyFill="1" applyBorder="1" applyAlignment="1" applyProtection="1">
      <alignment horizontal="center" vertical="center"/>
    </xf>
    <xf numFmtId="0" fontId="20" fillId="0" borderId="0" xfId="0" applyFont="1" applyBorder="1" applyAlignment="1" applyProtection="1">
      <alignment vertical="center"/>
    </xf>
    <xf numFmtId="0" fontId="20" fillId="0" borderId="20" xfId="0" applyFont="1" applyBorder="1" applyAlignment="1" applyProtection="1">
      <alignment vertical="center"/>
    </xf>
    <xf numFmtId="0" fontId="0" fillId="4" borderId="25" xfId="0" applyFill="1" applyBorder="1" applyAlignment="1" applyProtection="1">
      <alignment horizontal="center" vertical="center"/>
    </xf>
    <xf numFmtId="0" fontId="6" fillId="0" borderId="0" xfId="0" applyFont="1" applyFill="1" applyBorder="1" applyAlignment="1" applyProtection="1">
      <alignment horizontal="left" vertical="center" wrapText="1" indent="1"/>
    </xf>
    <xf numFmtId="0" fontId="6" fillId="9" borderId="11" xfId="0" applyFont="1" applyFill="1" applyBorder="1" applyAlignment="1" applyProtection="1">
      <alignment horizontal="center" vertical="center"/>
      <protection locked="0"/>
    </xf>
    <xf numFmtId="0" fontId="8" fillId="8" borderId="14" xfId="0" applyFont="1" applyFill="1" applyBorder="1" applyAlignment="1" applyProtection="1">
      <alignment horizontal="center" vertical="center"/>
    </xf>
    <xf numFmtId="0" fontId="7" fillId="4" borderId="32" xfId="0" applyFont="1" applyFill="1" applyBorder="1" applyAlignment="1" applyProtection="1">
      <alignment horizontal="left" vertical="center" indent="1"/>
    </xf>
    <xf numFmtId="0" fontId="8" fillId="0" borderId="31" xfId="0" applyFont="1" applyFill="1" applyBorder="1" applyAlignment="1" applyProtection="1">
      <alignment vertical="center"/>
    </xf>
    <xf numFmtId="0" fontId="5" fillId="0" borderId="33" xfId="0" applyNumberFormat="1" applyFont="1" applyFill="1" applyBorder="1" applyAlignment="1" applyProtection="1">
      <alignment vertical="center"/>
    </xf>
    <xf numFmtId="0" fontId="1" fillId="4" borderId="34" xfId="0" applyFont="1" applyFill="1" applyBorder="1" applyAlignment="1" applyProtection="1">
      <alignment vertical="center"/>
    </xf>
    <xf numFmtId="0" fontId="1" fillId="4" borderId="35" xfId="0" applyFont="1" applyFill="1" applyBorder="1" applyAlignment="1" applyProtection="1">
      <alignment vertical="center"/>
    </xf>
    <xf numFmtId="0" fontId="13" fillId="4" borderId="35" xfId="0" applyFont="1" applyFill="1" applyBorder="1" applyAlignment="1" applyProtection="1">
      <alignment vertical="center"/>
    </xf>
    <xf numFmtId="0" fontId="1" fillId="4" borderId="35" xfId="0" applyFont="1" applyFill="1" applyBorder="1" applyAlignment="1" applyProtection="1">
      <alignment horizontal="right" vertical="center"/>
    </xf>
    <xf numFmtId="0" fontId="6" fillId="4" borderId="35" xfId="0" applyFont="1" applyFill="1" applyBorder="1" applyAlignment="1" applyProtection="1">
      <alignment horizontal="center" vertical="center"/>
    </xf>
    <xf numFmtId="0" fontId="0" fillId="4" borderId="35" xfId="0" applyFill="1" applyBorder="1" applyAlignment="1" applyProtection="1">
      <alignment vertical="center"/>
    </xf>
    <xf numFmtId="0" fontId="0" fillId="4" borderId="36" xfId="0" applyFill="1" applyBorder="1" applyAlignment="1" applyProtection="1">
      <alignment vertical="center"/>
    </xf>
    <xf numFmtId="0" fontId="1" fillId="4" borderId="3" xfId="0" applyFont="1" applyFill="1" applyBorder="1" applyAlignment="1" applyProtection="1">
      <alignment vertical="center"/>
    </xf>
    <xf numFmtId="0" fontId="1" fillId="4" borderId="1" xfId="0" applyFont="1" applyFill="1" applyBorder="1" applyAlignment="1" applyProtection="1">
      <alignment vertical="center"/>
    </xf>
    <xf numFmtId="0" fontId="13" fillId="4" borderId="1" xfId="0" applyFont="1" applyFill="1" applyBorder="1" applyAlignment="1" applyProtection="1">
      <alignment vertical="center"/>
    </xf>
    <xf numFmtId="0" fontId="1" fillId="4" borderId="1" xfId="0" applyFont="1" applyFill="1" applyBorder="1" applyAlignment="1" applyProtection="1">
      <alignment horizontal="right" vertical="center"/>
    </xf>
    <xf numFmtId="0" fontId="6" fillId="4" borderId="1" xfId="0" applyFont="1" applyFill="1" applyBorder="1" applyAlignment="1" applyProtection="1">
      <alignment horizontal="center" vertical="center"/>
    </xf>
    <xf numFmtId="0" fontId="0" fillId="4" borderId="1" xfId="0" applyFill="1" applyBorder="1" applyAlignment="1" applyProtection="1">
      <alignment vertical="center"/>
    </xf>
    <xf numFmtId="0" fontId="0" fillId="4" borderId="37" xfId="0" applyFill="1" applyBorder="1" applyAlignment="1" applyProtection="1">
      <alignment vertical="center"/>
    </xf>
    <xf numFmtId="0" fontId="7" fillId="4" borderId="38" xfId="0" applyFont="1" applyFill="1" applyBorder="1" applyAlignment="1" applyProtection="1">
      <alignment horizontal="left" vertical="center" indent="1"/>
    </xf>
    <xf numFmtId="0" fontId="1" fillId="4" borderId="1" xfId="0" applyFont="1" applyFill="1" applyBorder="1" applyAlignment="1" applyProtection="1">
      <alignment horizontal="center" vertical="center"/>
    </xf>
    <xf numFmtId="0" fontId="6" fillId="0" borderId="2" xfId="0" applyFont="1" applyFill="1" applyBorder="1" applyAlignment="1" applyProtection="1">
      <alignment horizontal="left" vertical="center" indent="1"/>
    </xf>
    <xf numFmtId="0" fontId="3" fillId="7" borderId="2" xfId="0" applyFont="1" applyFill="1" applyBorder="1" applyAlignment="1" applyProtection="1">
      <alignment horizontal="left" vertical="center" indent="1"/>
    </xf>
    <xf numFmtId="0" fontId="11" fillId="0" borderId="9" xfId="0" quotePrefix="1" applyNumberFormat="1" applyFont="1" applyFill="1" applyBorder="1" applyAlignment="1" applyProtection="1">
      <alignment horizontal="left" vertical="center"/>
    </xf>
    <xf numFmtId="0" fontId="0" fillId="0" borderId="18" xfId="0" applyBorder="1" applyAlignment="1">
      <alignment vertical="center"/>
    </xf>
    <xf numFmtId="0" fontId="0" fillId="0" borderId="18" xfId="0" applyBorder="1" applyAlignment="1" applyProtection="1">
      <alignment horizontal="center"/>
    </xf>
    <xf numFmtId="0" fontId="0" fillId="0" borderId="18" xfId="0" applyBorder="1" applyAlignment="1" applyProtection="1">
      <alignment horizontal="center" vertical="center"/>
    </xf>
    <xf numFmtId="0" fontId="0" fillId="6" borderId="18"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22" xfId="0" applyBorder="1" applyAlignment="1" applyProtection="1">
      <alignment horizontal="center" vertical="center"/>
    </xf>
    <xf numFmtId="0" fontId="0" fillId="0" borderId="23" xfId="0" applyBorder="1" applyAlignment="1">
      <alignment vertical="center"/>
    </xf>
    <xf numFmtId="0" fontId="0" fillId="0" borderId="17" xfId="0" applyBorder="1"/>
    <xf numFmtId="0" fontId="0" fillId="0" borderId="30" xfId="0" applyBorder="1"/>
    <xf numFmtId="0" fontId="0" fillId="0" borderId="18" xfId="0" applyBorder="1"/>
    <xf numFmtId="0" fontId="0" fillId="0" borderId="22" xfId="0" applyBorder="1"/>
    <xf numFmtId="0" fontId="0" fillId="0" borderId="21" xfId="0" applyBorder="1"/>
    <xf numFmtId="0" fontId="0" fillId="0" borderId="23" xfId="0" applyBorder="1"/>
    <xf numFmtId="0" fontId="6" fillId="0" borderId="30" xfId="0" applyFont="1" applyBorder="1" applyAlignment="1" applyProtection="1">
      <alignment vertical="center"/>
    </xf>
    <xf numFmtId="0" fontId="11" fillId="0" borderId="39" xfId="0" quotePrefix="1" applyNumberFormat="1" applyFont="1" applyFill="1" applyBorder="1" applyAlignment="1" applyProtection="1">
      <alignment horizontal="right" vertical="center"/>
    </xf>
    <xf numFmtId="164" fontId="12" fillId="7" borderId="0" xfId="0" applyNumberFormat="1" applyFont="1" applyFill="1" applyBorder="1" applyAlignment="1" applyProtection="1">
      <alignment horizontal="left" vertical="center"/>
    </xf>
    <xf numFmtId="164" fontId="12" fillId="0" borderId="40" xfId="0" applyNumberFormat="1" applyFont="1" applyFill="1" applyBorder="1" applyAlignment="1" applyProtection="1">
      <alignment horizontal="left" vertical="center"/>
    </xf>
    <xf numFmtId="0" fontId="4" fillId="3" borderId="7" xfId="1" applyAlignment="1">
      <alignment horizontal="center"/>
    </xf>
    <xf numFmtId="0" fontId="0" fillId="0" borderId="0" xfId="0" applyAlignment="1">
      <alignment horizontal="center" vertical="center"/>
    </xf>
    <xf numFmtId="0" fontId="0" fillId="0" borderId="0" xfId="0" applyAlignment="1">
      <alignment horizontal="center"/>
    </xf>
    <xf numFmtId="0" fontId="22" fillId="0" borderId="0" xfId="0" applyFont="1" applyAlignment="1">
      <alignment horizontal="left"/>
    </xf>
    <xf numFmtId="0" fontId="0" fillId="0" borderId="0" xfId="0" applyAlignment="1">
      <alignment horizontal="left"/>
    </xf>
    <xf numFmtId="0" fontId="0" fillId="0" borderId="0" xfId="0" applyBorder="1"/>
    <xf numFmtId="0" fontId="0" fillId="0" borderId="0" xfId="0" applyBorder="1" applyAlignment="1">
      <alignment horizontal="center" vertical="center"/>
    </xf>
    <xf numFmtId="0" fontId="0" fillId="0" borderId="0" xfId="0" applyBorder="1" applyAlignment="1">
      <alignment horizontal="center"/>
    </xf>
    <xf numFmtId="0" fontId="0" fillId="4" borderId="25" xfId="0" applyFill="1" applyBorder="1" applyAlignment="1" applyProtection="1">
      <alignment horizontal="center" vertical="center"/>
    </xf>
    <xf numFmtId="0" fontId="0" fillId="4" borderId="25" xfId="0" applyFill="1" applyBorder="1" applyAlignment="1" applyProtection="1">
      <alignment horizontal="center" vertical="center"/>
    </xf>
    <xf numFmtId="0" fontId="6" fillId="0" borderId="0" xfId="0" quotePrefix="1" applyFont="1" applyBorder="1" applyAlignment="1" applyProtection="1">
      <alignment horizontal="right" vertical="center" indent="1"/>
    </xf>
    <xf numFmtId="0" fontId="6" fillId="0" borderId="0" xfId="0" quotePrefix="1" applyFont="1" applyBorder="1" applyAlignment="1" applyProtection="1">
      <alignment horizontal="left" vertical="center" indent="1"/>
    </xf>
    <xf numFmtId="0" fontId="16" fillId="0" borderId="0" xfId="2" applyFont="1" applyBorder="1" applyAlignment="1" applyProtection="1">
      <alignment horizontal="left" vertical="center" indent="1"/>
    </xf>
    <xf numFmtId="0" fontId="0" fillId="4" borderId="25" xfId="0" applyFill="1" applyBorder="1" applyAlignment="1" applyProtection="1">
      <alignment horizontal="center" vertical="center"/>
    </xf>
    <xf numFmtId="0" fontId="6" fillId="0" borderId="0" xfId="0" applyFont="1" applyFill="1" applyBorder="1" applyAlignment="1" applyProtection="1">
      <alignment horizontal="left" vertical="center" wrapText="1" indent="1"/>
    </xf>
    <xf numFmtId="0" fontId="2" fillId="0" borderId="0" xfId="0" applyFont="1" applyFill="1"/>
    <xf numFmtId="0" fontId="0" fillId="0" borderId="0" xfId="0" applyFill="1"/>
    <xf numFmtId="0" fontId="0" fillId="0" borderId="0" xfId="0" applyFill="1" applyAlignment="1">
      <alignment vertical="center"/>
    </xf>
    <xf numFmtId="0" fontId="0" fillId="0" borderId="20" xfId="0" applyFill="1" applyBorder="1" applyAlignment="1">
      <alignment vertical="center"/>
    </xf>
    <xf numFmtId="0" fontId="0" fillId="0" borderId="0" xfId="0" applyFill="1" applyBorder="1" applyAlignment="1">
      <alignment vertical="center"/>
    </xf>
    <xf numFmtId="0" fontId="0" fillId="4" borderId="25" xfId="0" applyFill="1" applyBorder="1" applyAlignment="1" applyProtection="1">
      <alignment horizontal="center" vertical="center"/>
    </xf>
    <xf numFmtId="0" fontId="0" fillId="8" borderId="0" xfId="0" applyFill="1" applyAlignment="1" applyProtection="1">
      <alignment vertical="center"/>
    </xf>
    <xf numFmtId="0" fontId="0" fillId="8" borderId="0" xfId="0" applyFill="1" applyAlignment="1" applyProtection="1">
      <alignment horizontal="left" vertical="center" indent="1"/>
    </xf>
    <xf numFmtId="0" fontId="8" fillId="8" borderId="13" xfId="0" quotePrefix="1" applyFont="1" applyFill="1" applyBorder="1" applyAlignment="1" applyProtection="1">
      <alignment horizontal="left" vertical="center"/>
    </xf>
    <xf numFmtId="0" fontId="10" fillId="0" borderId="48" xfId="0" quotePrefix="1" applyFont="1" applyFill="1" applyBorder="1" applyProtection="1"/>
    <xf numFmtId="0" fontId="10" fillId="0" borderId="48" xfId="0" applyFont="1" applyFill="1" applyBorder="1" applyProtection="1"/>
    <xf numFmtId="0" fontId="2" fillId="0" borderId="48" xfId="0" applyFont="1" applyFill="1" applyBorder="1" applyProtection="1"/>
    <xf numFmtId="0" fontId="2" fillId="0" borderId="48" xfId="0" applyFont="1" applyFill="1" applyBorder="1" applyAlignment="1" applyProtection="1">
      <alignment horizontal="center"/>
    </xf>
    <xf numFmtId="0" fontId="0" fillId="0" borderId="49" xfId="0" applyBorder="1" applyProtection="1"/>
    <xf numFmtId="0" fontId="0" fillId="0" borderId="49" xfId="0" applyBorder="1"/>
    <xf numFmtId="0" fontId="8" fillId="8" borderId="49" xfId="0" quotePrefix="1" applyFont="1" applyFill="1" applyBorder="1" applyAlignment="1" applyProtection="1">
      <alignment horizontal="right" vertical="center"/>
    </xf>
    <xf numFmtId="14" fontId="9" fillId="9" borderId="52" xfId="0" applyNumberFormat="1" applyFont="1" applyFill="1" applyBorder="1" applyAlignment="1" applyProtection="1">
      <alignment horizontal="center" vertical="center"/>
      <protection locked="0"/>
    </xf>
    <xf numFmtId="0" fontId="0" fillId="8" borderId="51" xfId="0" applyFill="1" applyBorder="1" applyAlignment="1">
      <alignment vertical="center"/>
    </xf>
    <xf numFmtId="0" fontId="7" fillId="5" borderId="49" xfId="0" applyFont="1" applyFill="1" applyBorder="1" applyAlignment="1" applyProtection="1">
      <alignment horizontal="left" vertical="center" wrapText="1" indent="1"/>
    </xf>
    <xf numFmtId="0" fontId="7" fillId="5" borderId="49" xfId="0" applyFont="1" applyFill="1" applyBorder="1" applyAlignment="1" applyProtection="1">
      <alignment vertical="top" wrapText="1"/>
    </xf>
    <xf numFmtId="0" fontId="3" fillId="5" borderId="49" xfId="0" applyFont="1" applyFill="1" applyBorder="1" applyAlignment="1" applyProtection="1">
      <alignment vertical="top" wrapText="1"/>
    </xf>
    <xf numFmtId="0" fontId="0" fillId="5" borderId="49" xfId="0" applyFill="1" applyBorder="1" applyAlignment="1" applyProtection="1">
      <alignment horizontal="left" vertical="center" indent="1"/>
    </xf>
    <xf numFmtId="0" fontId="7" fillId="5" borderId="53" xfId="0" applyFont="1" applyFill="1" applyBorder="1" applyAlignment="1" applyProtection="1">
      <alignment horizontal="left" vertical="center" wrapText="1"/>
    </xf>
    <xf numFmtId="0" fontId="0" fillId="5" borderId="53" xfId="0" applyFill="1" applyBorder="1" applyAlignment="1" applyProtection="1">
      <alignment horizontal="left" vertical="center"/>
    </xf>
    <xf numFmtId="0" fontId="7" fillId="5" borderId="0" xfId="0" applyFont="1" applyFill="1" applyAlignment="1" applyProtection="1">
      <alignment horizontal="left" vertical="center" wrapText="1"/>
    </xf>
    <xf numFmtId="0" fontId="0" fillId="5" borderId="0" xfId="0" applyFill="1" applyAlignment="1" applyProtection="1">
      <alignment horizontal="left" vertical="center"/>
    </xf>
    <xf numFmtId="0" fontId="8" fillId="8" borderId="45" xfId="0" quotePrefix="1" applyFont="1" applyFill="1" applyBorder="1" applyAlignment="1" applyProtection="1">
      <alignment horizontal="right" vertical="center"/>
    </xf>
    <xf numFmtId="0" fontId="9" fillId="9" borderId="9" xfId="0" applyNumberFormat="1" applyFont="1" applyFill="1" applyBorder="1" applyAlignment="1" applyProtection="1">
      <alignment horizontal="right" vertical="center" indent="1"/>
      <protection locked="0"/>
    </xf>
    <xf numFmtId="0" fontId="0" fillId="0" borderId="0" xfId="0" applyAlignment="1">
      <alignment horizontal="right" vertical="top"/>
    </xf>
    <xf numFmtId="0" fontId="0" fillId="0" borderId="0" xfId="0" applyAlignment="1">
      <alignment horizontal="left" vertical="top"/>
    </xf>
    <xf numFmtId="0" fontId="0" fillId="0" borderId="0" xfId="0" applyAlignment="1">
      <alignment wrapText="1"/>
    </xf>
    <xf numFmtId="44" fontId="19" fillId="0" borderId="0" xfId="0" applyNumberFormat="1" applyFont="1" applyBorder="1" applyAlignment="1" applyProtection="1">
      <alignment horizontal="center" vertical="center"/>
    </xf>
    <xf numFmtId="0" fontId="16" fillId="0" borderId="0" xfId="2" applyFont="1" applyBorder="1" applyAlignment="1" applyProtection="1">
      <alignment horizontal="left" vertical="center" indent="1"/>
    </xf>
    <xf numFmtId="0" fontId="6" fillId="0" borderId="0" xfId="0" applyFont="1" applyBorder="1" applyAlignment="1" applyProtection="1">
      <alignment horizontal="left" vertical="center" indent="1"/>
    </xf>
    <xf numFmtId="164" fontId="0" fillId="0" borderId="28" xfId="0" applyNumberFormat="1" applyBorder="1" applyAlignment="1" applyProtection="1">
      <alignment horizontal="center" vertical="center"/>
    </xf>
    <xf numFmtId="0" fontId="0" fillId="0" borderId="29" xfId="0" applyBorder="1" applyAlignment="1" applyProtection="1">
      <alignment horizontal="center" vertical="center"/>
    </xf>
    <xf numFmtId="0" fontId="16" fillId="7" borderId="0" xfId="2" applyFont="1" applyFill="1" applyBorder="1" applyAlignment="1" applyProtection="1">
      <alignment horizontal="left" vertical="center" indent="1"/>
    </xf>
    <xf numFmtId="0" fontId="6" fillId="7" borderId="0" xfId="0" applyFont="1" applyFill="1" applyBorder="1" applyAlignment="1" applyProtection="1">
      <alignment horizontal="left" vertical="center" indent="1"/>
    </xf>
    <xf numFmtId="164" fontId="0" fillId="0" borderId="0" xfId="0" applyNumberFormat="1" applyBorder="1" applyAlignment="1" applyProtection="1">
      <alignment horizontal="center" vertical="center"/>
    </xf>
    <xf numFmtId="0" fontId="9" fillId="9" borderId="11" xfId="0" applyFont="1" applyFill="1" applyBorder="1" applyAlignment="1" applyProtection="1">
      <alignment horizontal="left" vertical="center" indent="1"/>
      <protection locked="0"/>
    </xf>
    <xf numFmtId="0" fontId="9" fillId="9" borderId="12" xfId="0" applyFont="1" applyFill="1" applyBorder="1" applyAlignment="1" applyProtection="1">
      <alignment horizontal="left" vertical="center" indent="1"/>
      <protection locked="0"/>
    </xf>
    <xf numFmtId="0" fontId="16" fillId="0" borderId="2" xfId="2" applyFont="1" applyBorder="1" applyAlignment="1" applyProtection="1">
      <alignment horizontal="left" vertical="center" indent="1"/>
    </xf>
    <xf numFmtId="0" fontId="0" fillId="4" borderId="25" xfId="0" applyFill="1" applyBorder="1" applyAlignment="1" applyProtection="1">
      <alignment horizontal="center" vertical="center"/>
    </xf>
    <xf numFmtId="0" fontId="16" fillId="0" borderId="29" xfId="2" applyFont="1" applyBorder="1" applyAlignment="1" applyProtection="1">
      <alignment horizontal="left" vertical="center" indent="1"/>
    </xf>
    <xf numFmtId="0" fontId="14" fillId="0" borderId="0" xfId="2" applyFont="1" applyFill="1" applyBorder="1" applyAlignment="1" applyProtection="1">
      <alignment horizontal="left" vertical="center" wrapText="1" indent="1"/>
    </xf>
    <xf numFmtId="0" fontId="6" fillId="0" borderId="0" xfId="0" applyFont="1" applyFill="1" applyBorder="1" applyAlignment="1" applyProtection="1">
      <alignment horizontal="left" vertical="center" wrapText="1" indent="1"/>
    </xf>
    <xf numFmtId="164" fontId="12" fillId="9" borderId="28" xfId="0" applyNumberFormat="1" applyFont="1" applyFill="1" applyBorder="1" applyAlignment="1" applyProtection="1">
      <alignment horizontal="center" vertical="center"/>
      <protection locked="0"/>
    </xf>
    <xf numFmtId="164" fontId="12" fillId="9" borderId="29" xfId="0" applyNumberFormat="1" applyFont="1" applyFill="1" applyBorder="1" applyAlignment="1" applyProtection="1">
      <alignment horizontal="center" vertical="center"/>
      <protection locked="0"/>
    </xf>
    <xf numFmtId="0" fontId="21" fillId="9" borderId="41" xfId="0" applyFont="1" applyFill="1" applyBorder="1" applyAlignment="1" applyProtection="1">
      <alignment horizontal="left" vertical="top" wrapText="1" indent="1"/>
      <protection locked="0"/>
    </xf>
    <xf numFmtId="0" fontId="21" fillId="9" borderId="15" xfId="0" applyFont="1" applyFill="1" applyBorder="1" applyAlignment="1" applyProtection="1">
      <alignment horizontal="left" vertical="top" wrapText="1" indent="1"/>
      <protection locked="0"/>
    </xf>
    <xf numFmtId="0" fontId="21" fillId="9" borderId="42" xfId="0" applyFont="1" applyFill="1" applyBorder="1" applyAlignment="1" applyProtection="1">
      <alignment horizontal="left" vertical="top" wrapText="1" indent="1"/>
      <protection locked="0"/>
    </xf>
    <xf numFmtId="0" fontId="21" fillId="9" borderId="43" xfId="0" applyFont="1" applyFill="1" applyBorder="1" applyAlignment="1" applyProtection="1">
      <alignment horizontal="left" vertical="top" wrapText="1" indent="1"/>
      <protection locked="0"/>
    </xf>
    <xf numFmtId="0" fontId="21" fillId="9" borderId="0" xfId="0" applyFont="1" applyFill="1" applyBorder="1" applyAlignment="1" applyProtection="1">
      <alignment horizontal="left" vertical="top" wrapText="1" indent="1"/>
      <protection locked="0"/>
    </xf>
    <xf numFmtId="0" fontId="21" fillId="9" borderId="44" xfId="0" applyFont="1" applyFill="1" applyBorder="1" applyAlignment="1" applyProtection="1">
      <alignment horizontal="left" vertical="top" wrapText="1" indent="1"/>
      <protection locked="0"/>
    </xf>
    <xf numFmtId="0" fontId="21" fillId="9" borderId="45" xfId="0" applyFont="1" applyFill="1" applyBorder="1" applyAlignment="1" applyProtection="1">
      <alignment horizontal="left" vertical="top" wrapText="1" indent="1"/>
      <protection locked="0"/>
    </xf>
    <xf numFmtId="0" fontId="21" fillId="9" borderId="10" xfId="0" applyFont="1" applyFill="1" applyBorder="1" applyAlignment="1" applyProtection="1">
      <alignment horizontal="left" vertical="top" wrapText="1" indent="1"/>
      <protection locked="0"/>
    </xf>
    <xf numFmtId="0" fontId="21" fillId="9" borderId="46" xfId="0" applyFont="1" applyFill="1" applyBorder="1" applyAlignment="1" applyProtection="1">
      <alignment horizontal="left" vertical="top" wrapText="1" indent="1"/>
      <protection locked="0"/>
    </xf>
    <xf numFmtId="0" fontId="17" fillId="8" borderId="6" xfId="0" applyFont="1" applyFill="1" applyBorder="1" applyAlignment="1" applyProtection="1">
      <alignment horizontal="left" vertical="center" indent="1"/>
    </xf>
    <xf numFmtId="0" fontId="17" fillId="8" borderId="4" xfId="0" applyFont="1" applyFill="1" applyBorder="1" applyAlignment="1" applyProtection="1">
      <alignment horizontal="left" vertical="center" indent="1"/>
    </xf>
    <xf numFmtId="0" fontId="9" fillId="9" borderId="13" xfId="0" applyFont="1" applyFill="1" applyBorder="1" applyAlignment="1" applyProtection="1">
      <alignment horizontal="left" vertical="center" indent="1"/>
      <protection locked="0"/>
    </xf>
    <xf numFmtId="0" fontId="0" fillId="4" borderId="47" xfId="0" applyFill="1" applyBorder="1" applyAlignment="1" applyProtection="1">
      <alignment horizontal="center" vertical="center"/>
    </xf>
    <xf numFmtId="0" fontId="0" fillId="4" borderId="26" xfId="0" applyFill="1" applyBorder="1" applyAlignment="1" applyProtection="1">
      <alignment horizontal="center" vertical="center"/>
    </xf>
    <xf numFmtId="165" fontId="5" fillId="8" borderId="50" xfId="0" applyNumberFormat="1" applyFont="1" applyFill="1" applyBorder="1" applyAlignment="1" applyProtection="1">
      <alignment horizontal="right" vertical="center"/>
    </xf>
    <xf numFmtId="165" fontId="5" fillId="8" borderId="51" xfId="0" applyNumberFormat="1" applyFont="1" applyFill="1" applyBorder="1" applyAlignment="1" applyProtection="1">
      <alignment horizontal="right" vertical="center"/>
    </xf>
    <xf numFmtId="0" fontId="8" fillId="8" borderId="50" xfId="0" quotePrefix="1" applyFont="1" applyFill="1" applyBorder="1" applyAlignment="1" applyProtection="1">
      <alignment horizontal="right" vertical="center" indent="1"/>
    </xf>
    <xf numFmtId="0" fontId="8" fillId="8" borderId="49" xfId="0" quotePrefix="1" applyFont="1" applyFill="1" applyBorder="1" applyAlignment="1" applyProtection="1">
      <alignment horizontal="right" vertical="center" indent="1"/>
    </xf>
    <xf numFmtId="0" fontId="6" fillId="5" borderId="0" xfId="0" applyFont="1" applyFill="1" applyAlignment="1" applyProtection="1">
      <alignment horizontal="left" vertical="center" wrapText="1"/>
    </xf>
    <xf numFmtId="0" fontId="6" fillId="5" borderId="53" xfId="0" applyFont="1" applyFill="1" applyBorder="1" applyAlignment="1" applyProtection="1">
      <alignment horizontal="left" vertical="center" wrapText="1"/>
    </xf>
    <xf numFmtId="165" fontId="5" fillId="8" borderId="12" xfId="0" applyNumberFormat="1" applyFont="1" applyFill="1" applyBorder="1" applyAlignment="1" applyProtection="1">
      <alignment horizontal="right" vertical="center"/>
    </xf>
    <xf numFmtId="165" fontId="5" fillId="8" borderId="14" xfId="0" applyNumberFormat="1" applyFont="1" applyFill="1" applyBorder="1" applyAlignment="1" applyProtection="1">
      <alignment horizontal="right" vertical="center"/>
    </xf>
    <xf numFmtId="0" fontId="9" fillId="9" borderId="50" xfId="0" applyFont="1" applyFill="1" applyBorder="1" applyAlignment="1" applyProtection="1">
      <alignment horizontal="left" vertical="center" indent="1"/>
      <protection locked="0"/>
    </xf>
    <xf numFmtId="0" fontId="9" fillId="9" borderId="49" xfId="0" applyFont="1" applyFill="1" applyBorder="1" applyAlignment="1" applyProtection="1">
      <alignment horizontal="left" vertical="center" indent="1"/>
      <protection locked="0"/>
    </xf>
    <xf numFmtId="0" fontId="9" fillId="9" borderId="51" xfId="0" applyFont="1" applyFill="1" applyBorder="1" applyAlignment="1" applyProtection="1">
      <alignment horizontal="left" vertical="center" indent="1"/>
      <protection locked="0"/>
    </xf>
    <xf numFmtId="0" fontId="8" fillId="8" borderId="10" xfId="0" quotePrefix="1" applyFont="1" applyFill="1" applyBorder="1" applyAlignment="1" applyProtection="1">
      <alignment horizontal="center" vertical="center" wrapText="1"/>
    </xf>
    <xf numFmtId="0" fontId="8" fillId="8" borderId="10" xfId="0" quotePrefix="1" applyFont="1" applyFill="1" applyBorder="1" applyAlignment="1" applyProtection="1">
      <alignment horizontal="right" vertical="center" wrapText="1" indent="1"/>
    </xf>
    <xf numFmtId="0" fontId="9" fillId="9" borderId="14" xfId="0" applyFont="1" applyFill="1" applyBorder="1" applyAlignment="1" applyProtection="1">
      <alignment horizontal="left" vertical="center" indent="1"/>
      <protection locked="0"/>
    </xf>
  </cellXfs>
  <cellStyles count="3">
    <cellStyle name="Hyperlink" xfId="2" builtinId="8"/>
    <cellStyle name="Normal" xfId="0" builtinId="0"/>
    <cellStyle name="Output" xfId="1" builtinId="21"/>
  </cellStyles>
  <dxfs count="0"/>
  <tableStyles count="0" defaultTableStyle="TableStyleMedium2" defaultPivotStyle="PivotStyleLight16"/>
  <colors>
    <mruColors>
      <color rgb="FFC2FEE3"/>
      <color rgb="FF00B398"/>
      <color rgb="FF41719C"/>
      <color rgb="FF63A9B5"/>
      <color rgb="FF00C8AB"/>
      <color rgb="FF00DEBE"/>
      <color rgb="FF00FEDA"/>
      <color rgb="FF6565FF"/>
      <color rgb="FFB16FF4"/>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0</xdr:rowOff>
    </xdr:from>
    <xdr:to>
      <xdr:col>14</xdr:col>
      <xdr:colOff>0</xdr:colOff>
      <xdr:row>14</xdr:row>
      <xdr:rowOff>0</xdr:rowOff>
    </xdr:to>
    <xdr:sp macro="" textlink="">
      <xdr:nvSpPr>
        <xdr:cNvPr id="43" name="Freeform 42">
          <a:extLst>
            <a:ext uri="{FF2B5EF4-FFF2-40B4-BE49-F238E27FC236}">
              <a16:creationId xmlns:a16="http://schemas.microsoft.com/office/drawing/2014/main" id="{00000000-0008-0000-0000-00002B000000}"/>
            </a:ext>
          </a:extLst>
        </xdr:cNvPr>
        <xdr:cNvSpPr/>
      </xdr:nvSpPr>
      <xdr:spPr>
        <a:xfrm flipH="1">
          <a:off x="12245340" y="5135880"/>
          <a:ext cx="335280"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1360538</xdr:colOff>
      <xdr:row>0</xdr:row>
      <xdr:rowOff>123564</xdr:rowOff>
    </xdr:from>
    <xdr:to>
      <xdr:col>14</xdr:col>
      <xdr:colOff>142736</xdr:colOff>
      <xdr:row>0</xdr:row>
      <xdr:rowOff>440267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51447" y="123564"/>
          <a:ext cx="1033562" cy="323850"/>
        </a:xfrm>
        <a:prstGeom prst="rect">
          <a:avLst/>
        </a:prstGeom>
      </xdr:spPr>
    </xdr:pic>
    <xdr:clientData/>
  </xdr:twoCellAnchor>
  <xdr:twoCellAnchor>
    <xdr:from>
      <xdr:col>12</xdr:col>
      <xdr:colOff>71886</xdr:colOff>
      <xdr:row>13</xdr:row>
      <xdr:rowOff>50321</xdr:rowOff>
    </xdr:from>
    <xdr:to>
      <xdr:col>12</xdr:col>
      <xdr:colOff>316301</xdr:colOff>
      <xdr:row>13</xdr:row>
      <xdr:rowOff>294736</xdr:rowOff>
    </xdr:to>
    <xdr:sp macro="[0]!btnPlusPrimResSchEAreas_Click" textlink="">
      <xdr:nvSpPr>
        <xdr:cNvPr id="3" name="Plus 2">
          <a:extLst>
            <a:ext uri="{FF2B5EF4-FFF2-40B4-BE49-F238E27FC236}">
              <a16:creationId xmlns:a16="http://schemas.microsoft.com/office/drawing/2014/main" id="{00000000-0008-0000-0000-000003000000}"/>
            </a:ext>
          </a:extLst>
        </xdr:cNvPr>
        <xdr:cNvSpPr/>
      </xdr:nvSpPr>
      <xdr:spPr>
        <a:xfrm>
          <a:off x="11509075" y="4061604"/>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13</xdr:row>
      <xdr:rowOff>43132</xdr:rowOff>
    </xdr:from>
    <xdr:to>
      <xdr:col>13</xdr:col>
      <xdr:colOff>287548</xdr:colOff>
      <xdr:row>13</xdr:row>
      <xdr:rowOff>301925</xdr:rowOff>
    </xdr:to>
    <xdr:sp macro="[0]!btnMinusPrimResSchEAreas_Click" textlink="">
      <xdr:nvSpPr>
        <xdr:cNvPr id="4" name="Minus 3">
          <a:extLst>
            <a:ext uri="{FF2B5EF4-FFF2-40B4-BE49-F238E27FC236}">
              <a16:creationId xmlns:a16="http://schemas.microsoft.com/office/drawing/2014/main" id="{00000000-0008-0000-0000-000004000000}"/>
            </a:ext>
          </a:extLst>
        </xdr:cNvPr>
        <xdr:cNvSpPr/>
      </xdr:nvSpPr>
      <xdr:spPr>
        <a:xfrm>
          <a:off x="11803812" y="4054415"/>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11</xdr:row>
      <xdr:rowOff>0</xdr:rowOff>
    </xdr:from>
    <xdr:to>
      <xdr:col>3</xdr:col>
      <xdr:colOff>0</xdr:colOff>
      <xdr:row>12</xdr:row>
      <xdr:rowOff>0</xdr:rowOff>
    </xdr:to>
    <xdr:sp macro="[0]!btnShowHidePrimResSchE_Click" textlink="">
      <xdr:nvSpPr>
        <xdr:cNvPr id="42" name="Rounded Rectangle 41">
          <a:extLst>
            <a:ext uri="{FF2B5EF4-FFF2-40B4-BE49-F238E27FC236}">
              <a16:creationId xmlns:a16="http://schemas.microsoft.com/office/drawing/2014/main" id="{00000000-0008-0000-0000-00002A000000}"/>
            </a:ext>
          </a:extLst>
        </xdr:cNvPr>
        <xdr:cNvSpPr/>
      </xdr:nvSpPr>
      <xdr:spPr>
        <a:xfrm>
          <a:off x="602343" y="4659086"/>
          <a:ext cx="406400" cy="35560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2</xdr:col>
      <xdr:colOff>1523</xdr:colOff>
      <xdr:row>13</xdr:row>
      <xdr:rowOff>0</xdr:rowOff>
    </xdr:from>
    <xdr:to>
      <xdr:col>3</xdr:col>
      <xdr:colOff>0</xdr:colOff>
      <xdr:row>14</xdr:row>
      <xdr:rowOff>0</xdr:rowOff>
    </xdr:to>
    <xdr:sp macro="" textlink="">
      <xdr:nvSpPr>
        <xdr:cNvPr id="9" name="Freeform 8">
          <a:extLst>
            <a:ext uri="{FF2B5EF4-FFF2-40B4-BE49-F238E27FC236}">
              <a16:creationId xmlns:a16="http://schemas.microsoft.com/office/drawing/2014/main" id="{00000000-0008-0000-0000-000009000000}"/>
            </a:ext>
          </a:extLst>
        </xdr:cNvPr>
        <xdr:cNvSpPr/>
      </xdr:nvSpPr>
      <xdr:spPr>
        <a:xfrm>
          <a:off x="603503" y="5135880"/>
          <a:ext cx="371857"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28</xdr:row>
      <xdr:rowOff>0</xdr:rowOff>
    </xdr:from>
    <xdr:to>
      <xdr:col>14</xdr:col>
      <xdr:colOff>0</xdr:colOff>
      <xdr:row>29</xdr:row>
      <xdr:rowOff>0</xdr:rowOff>
    </xdr:to>
    <xdr:sp macro="" textlink="">
      <xdr:nvSpPr>
        <xdr:cNvPr id="51" name="Freeform 50">
          <a:extLst>
            <a:ext uri="{FF2B5EF4-FFF2-40B4-BE49-F238E27FC236}">
              <a16:creationId xmlns:a16="http://schemas.microsoft.com/office/drawing/2014/main" id="{00000000-0008-0000-0000-000033000000}"/>
            </a:ext>
          </a:extLst>
        </xdr:cNvPr>
        <xdr:cNvSpPr/>
      </xdr:nvSpPr>
      <xdr:spPr>
        <a:xfrm flipH="1">
          <a:off x="12230100" y="50196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28</xdr:row>
      <xdr:rowOff>50321</xdr:rowOff>
    </xdr:from>
    <xdr:to>
      <xdr:col>12</xdr:col>
      <xdr:colOff>316301</xdr:colOff>
      <xdr:row>28</xdr:row>
      <xdr:rowOff>294736</xdr:rowOff>
    </xdr:to>
    <xdr:sp macro="[0]!btnPlusPrimResSchEAreas_Click" textlink="">
      <xdr:nvSpPr>
        <xdr:cNvPr id="52" name="Plus 51">
          <a:extLst>
            <a:ext uri="{FF2B5EF4-FFF2-40B4-BE49-F238E27FC236}">
              <a16:creationId xmlns:a16="http://schemas.microsoft.com/office/drawing/2014/main" id="{00000000-0008-0000-0000-000034000000}"/>
            </a:ext>
          </a:extLst>
        </xdr:cNvPr>
        <xdr:cNvSpPr/>
      </xdr:nvSpPr>
      <xdr:spPr>
        <a:xfrm>
          <a:off x="11968611" y="50699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28</xdr:row>
      <xdr:rowOff>43132</xdr:rowOff>
    </xdr:from>
    <xdr:to>
      <xdr:col>13</xdr:col>
      <xdr:colOff>287548</xdr:colOff>
      <xdr:row>28</xdr:row>
      <xdr:rowOff>301925</xdr:rowOff>
    </xdr:to>
    <xdr:sp macro="[0]!btnMinusPrimResSchEAreas_Click" textlink="">
      <xdr:nvSpPr>
        <xdr:cNvPr id="53" name="Minus 52">
          <a:extLst>
            <a:ext uri="{FF2B5EF4-FFF2-40B4-BE49-F238E27FC236}">
              <a16:creationId xmlns:a16="http://schemas.microsoft.com/office/drawing/2014/main" id="{00000000-0008-0000-0000-000035000000}"/>
            </a:ext>
          </a:extLst>
        </xdr:cNvPr>
        <xdr:cNvSpPr/>
      </xdr:nvSpPr>
      <xdr:spPr>
        <a:xfrm>
          <a:off x="12258855" y="50628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28</xdr:row>
      <xdr:rowOff>0</xdr:rowOff>
    </xdr:from>
    <xdr:to>
      <xdr:col>3</xdr:col>
      <xdr:colOff>0</xdr:colOff>
      <xdr:row>29</xdr:row>
      <xdr:rowOff>0</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a:off x="601598" y="50196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1480186</xdr:colOff>
      <xdr:row>25</xdr:row>
      <xdr:rowOff>111166</xdr:rowOff>
    </xdr:from>
    <xdr:to>
      <xdr:col>4</xdr:col>
      <xdr:colOff>1630680</xdr:colOff>
      <xdr:row>25</xdr:row>
      <xdr:rowOff>274319</xdr:rowOff>
    </xdr:to>
    <xdr:pic macro="[0]!btnPrimResSchEInfo_Click">
      <xdr:nvPicPr>
        <xdr:cNvPr id="18" name="Picture 17">
          <a:extLst>
            <a:ext uri="{FF2B5EF4-FFF2-40B4-BE49-F238E27FC236}">
              <a16:creationId xmlns:a16="http://schemas.microsoft.com/office/drawing/2014/main" id="{00000000-0008-0000-0000-000012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6626" y="8752246"/>
          <a:ext cx="150494" cy="163153"/>
        </a:xfrm>
        <a:prstGeom prst="rect">
          <a:avLst/>
        </a:prstGeom>
      </xdr:spPr>
    </xdr:pic>
    <xdr:clientData/>
  </xdr:twoCellAnchor>
  <xdr:twoCellAnchor>
    <xdr:from>
      <xdr:col>13</xdr:col>
      <xdr:colOff>0</xdr:colOff>
      <xdr:row>43</xdr:row>
      <xdr:rowOff>0</xdr:rowOff>
    </xdr:from>
    <xdr:to>
      <xdr:col>14</xdr:col>
      <xdr:colOff>0</xdr:colOff>
      <xdr:row>44</xdr:row>
      <xdr:rowOff>0</xdr:rowOff>
    </xdr:to>
    <xdr:sp macro="" textlink="">
      <xdr:nvSpPr>
        <xdr:cNvPr id="57" name="Freeform 56">
          <a:extLst>
            <a:ext uri="{FF2B5EF4-FFF2-40B4-BE49-F238E27FC236}">
              <a16:creationId xmlns:a16="http://schemas.microsoft.com/office/drawing/2014/main" id="{00000000-0008-0000-0000-000039000000}"/>
            </a:ext>
          </a:extLst>
        </xdr:cNvPr>
        <xdr:cNvSpPr/>
      </xdr:nvSpPr>
      <xdr:spPr>
        <a:xfrm flipH="1">
          <a:off x="12230100" y="95440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43</xdr:row>
      <xdr:rowOff>50321</xdr:rowOff>
    </xdr:from>
    <xdr:to>
      <xdr:col>12</xdr:col>
      <xdr:colOff>316301</xdr:colOff>
      <xdr:row>43</xdr:row>
      <xdr:rowOff>294736</xdr:rowOff>
    </xdr:to>
    <xdr:sp macro="[0]!btnPlusPrimResSchEAreas_Click" textlink="">
      <xdr:nvSpPr>
        <xdr:cNvPr id="58" name="Plus 57">
          <a:extLst>
            <a:ext uri="{FF2B5EF4-FFF2-40B4-BE49-F238E27FC236}">
              <a16:creationId xmlns:a16="http://schemas.microsoft.com/office/drawing/2014/main" id="{00000000-0008-0000-0000-00003A000000}"/>
            </a:ext>
          </a:extLst>
        </xdr:cNvPr>
        <xdr:cNvSpPr/>
      </xdr:nvSpPr>
      <xdr:spPr>
        <a:xfrm>
          <a:off x="11968611" y="95943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43</xdr:row>
      <xdr:rowOff>43132</xdr:rowOff>
    </xdr:from>
    <xdr:to>
      <xdr:col>13</xdr:col>
      <xdr:colOff>287548</xdr:colOff>
      <xdr:row>43</xdr:row>
      <xdr:rowOff>301925</xdr:rowOff>
    </xdr:to>
    <xdr:sp macro="[0]!btnMinusPrimResSchEAreas_Click" textlink="">
      <xdr:nvSpPr>
        <xdr:cNvPr id="59" name="Minus 58">
          <a:extLst>
            <a:ext uri="{FF2B5EF4-FFF2-40B4-BE49-F238E27FC236}">
              <a16:creationId xmlns:a16="http://schemas.microsoft.com/office/drawing/2014/main" id="{00000000-0008-0000-0000-00003B000000}"/>
            </a:ext>
          </a:extLst>
        </xdr:cNvPr>
        <xdr:cNvSpPr/>
      </xdr:nvSpPr>
      <xdr:spPr>
        <a:xfrm>
          <a:off x="12258855" y="95871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43</xdr:row>
      <xdr:rowOff>0</xdr:rowOff>
    </xdr:from>
    <xdr:to>
      <xdr:col>3</xdr:col>
      <xdr:colOff>0</xdr:colOff>
      <xdr:row>44</xdr:row>
      <xdr:rowOff>0</xdr:rowOff>
    </xdr:to>
    <xdr:sp macro="" textlink="">
      <xdr:nvSpPr>
        <xdr:cNvPr id="60" name="Freeform 59">
          <a:extLst>
            <a:ext uri="{FF2B5EF4-FFF2-40B4-BE49-F238E27FC236}">
              <a16:creationId xmlns:a16="http://schemas.microsoft.com/office/drawing/2014/main" id="{00000000-0008-0000-0000-00003C000000}"/>
            </a:ext>
          </a:extLst>
        </xdr:cNvPr>
        <xdr:cNvSpPr/>
      </xdr:nvSpPr>
      <xdr:spPr>
        <a:xfrm>
          <a:off x="601598" y="95440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59</xdr:row>
      <xdr:rowOff>0</xdr:rowOff>
    </xdr:from>
    <xdr:to>
      <xdr:col>3</xdr:col>
      <xdr:colOff>0</xdr:colOff>
      <xdr:row>60</xdr:row>
      <xdr:rowOff>0</xdr:rowOff>
    </xdr:to>
    <xdr:sp macro="[0]!btnShowHidePrimResLease_Click" textlink="">
      <xdr:nvSpPr>
        <xdr:cNvPr id="62" name="Rounded Rectangle 61">
          <a:extLst>
            <a:ext uri="{FF2B5EF4-FFF2-40B4-BE49-F238E27FC236}">
              <a16:creationId xmlns:a16="http://schemas.microsoft.com/office/drawing/2014/main" id="{00000000-0008-0000-0000-00003E000000}"/>
            </a:ext>
          </a:extLst>
        </xdr:cNvPr>
        <xdr:cNvSpPr/>
      </xdr:nvSpPr>
      <xdr:spPr>
        <a:xfrm>
          <a:off x="600075" y="4581525"/>
          <a:ext cx="371475" cy="36195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13</xdr:col>
      <xdr:colOff>0</xdr:colOff>
      <xdr:row>61</xdr:row>
      <xdr:rowOff>0</xdr:rowOff>
    </xdr:from>
    <xdr:to>
      <xdr:col>14</xdr:col>
      <xdr:colOff>0</xdr:colOff>
      <xdr:row>62</xdr:row>
      <xdr:rowOff>0</xdr:rowOff>
    </xdr:to>
    <xdr:sp macro="" textlink="">
      <xdr:nvSpPr>
        <xdr:cNvPr id="63" name="Freeform 62">
          <a:extLst>
            <a:ext uri="{FF2B5EF4-FFF2-40B4-BE49-F238E27FC236}">
              <a16:creationId xmlns:a16="http://schemas.microsoft.com/office/drawing/2014/main" id="{00000000-0008-0000-0000-00003F000000}"/>
            </a:ext>
          </a:extLst>
        </xdr:cNvPr>
        <xdr:cNvSpPr/>
      </xdr:nvSpPr>
      <xdr:spPr>
        <a:xfrm flipH="1">
          <a:off x="12230100" y="95440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61</xdr:row>
      <xdr:rowOff>50321</xdr:rowOff>
    </xdr:from>
    <xdr:to>
      <xdr:col>12</xdr:col>
      <xdr:colOff>316301</xdr:colOff>
      <xdr:row>61</xdr:row>
      <xdr:rowOff>294736</xdr:rowOff>
    </xdr:to>
    <xdr:sp macro="[0]!btnPlusPrimResLeaseAreas_Click" textlink="">
      <xdr:nvSpPr>
        <xdr:cNvPr id="64" name="Plus 63">
          <a:extLst>
            <a:ext uri="{FF2B5EF4-FFF2-40B4-BE49-F238E27FC236}">
              <a16:creationId xmlns:a16="http://schemas.microsoft.com/office/drawing/2014/main" id="{00000000-0008-0000-0000-000040000000}"/>
            </a:ext>
          </a:extLst>
        </xdr:cNvPr>
        <xdr:cNvSpPr/>
      </xdr:nvSpPr>
      <xdr:spPr>
        <a:xfrm>
          <a:off x="11968611" y="95943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61</xdr:row>
      <xdr:rowOff>43132</xdr:rowOff>
    </xdr:from>
    <xdr:to>
      <xdr:col>13</xdr:col>
      <xdr:colOff>287548</xdr:colOff>
      <xdr:row>61</xdr:row>
      <xdr:rowOff>301925</xdr:rowOff>
    </xdr:to>
    <xdr:sp macro="[0]!btnMinusPrimResLeaseAreas_Click" textlink="">
      <xdr:nvSpPr>
        <xdr:cNvPr id="65" name="Minus 64">
          <a:extLst>
            <a:ext uri="{FF2B5EF4-FFF2-40B4-BE49-F238E27FC236}">
              <a16:creationId xmlns:a16="http://schemas.microsoft.com/office/drawing/2014/main" id="{00000000-0008-0000-0000-000041000000}"/>
            </a:ext>
          </a:extLst>
        </xdr:cNvPr>
        <xdr:cNvSpPr/>
      </xdr:nvSpPr>
      <xdr:spPr>
        <a:xfrm>
          <a:off x="12258855" y="95871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61</xdr:row>
      <xdr:rowOff>0</xdr:rowOff>
    </xdr:from>
    <xdr:to>
      <xdr:col>3</xdr:col>
      <xdr:colOff>0</xdr:colOff>
      <xdr:row>62</xdr:row>
      <xdr:rowOff>0</xdr:rowOff>
    </xdr:to>
    <xdr:sp macro="" textlink="">
      <xdr:nvSpPr>
        <xdr:cNvPr id="66" name="Freeform 65">
          <a:extLst>
            <a:ext uri="{FF2B5EF4-FFF2-40B4-BE49-F238E27FC236}">
              <a16:creationId xmlns:a16="http://schemas.microsoft.com/office/drawing/2014/main" id="{00000000-0008-0000-0000-000042000000}"/>
            </a:ext>
          </a:extLst>
        </xdr:cNvPr>
        <xdr:cNvSpPr/>
      </xdr:nvSpPr>
      <xdr:spPr>
        <a:xfrm>
          <a:off x="601598" y="95440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65</xdr:row>
      <xdr:rowOff>91440</xdr:rowOff>
    </xdr:from>
    <xdr:to>
      <xdr:col>4</xdr:col>
      <xdr:colOff>759333</xdr:colOff>
      <xdr:row>65</xdr:row>
      <xdr:rowOff>256032</xdr:rowOff>
    </xdr:to>
    <xdr:pic macro="[0]!SetVF_Click">
      <xdr:nvPicPr>
        <xdr:cNvPr id="77" name="Picture 76">
          <a:extLst>
            <a:ext uri="{FF2B5EF4-FFF2-40B4-BE49-F238E27FC236}">
              <a16:creationId xmlns:a16="http://schemas.microsoft.com/office/drawing/2014/main" id="{00000000-0008-0000-0000-00004D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00325" y="10660380"/>
          <a:ext cx="155448" cy="164592"/>
        </a:xfrm>
        <a:prstGeom prst="rect">
          <a:avLst/>
        </a:prstGeom>
      </xdr:spPr>
    </xdr:pic>
    <xdr:clientData/>
  </xdr:twoCellAnchor>
  <xdr:twoCellAnchor>
    <xdr:from>
      <xdr:col>4</xdr:col>
      <xdr:colOff>727710</xdr:colOff>
      <xdr:row>66</xdr:row>
      <xdr:rowOff>83820</xdr:rowOff>
    </xdr:from>
    <xdr:to>
      <xdr:col>4</xdr:col>
      <xdr:colOff>883158</xdr:colOff>
      <xdr:row>66</xdr:row>
      <xdr:rowOff>248412</xdr:rowOff>
    </xdr:to>
    <xdr:pic macro="[0]!btnPrimResLeaseAMRInfo_Click">
      <xdr:nvPicPr>
        <xdr:cNvPr id="79" name="Picture 78">
          <a:extLst>
            <a:ext uri="{FF2B5EF4-FFF2-40B4-BE49-F238E27FC236}">
              <a16:creationId xmlns:a16="http://schemas.microsoft.com/office/drawing/2014/main" id="{00000000-0008-0000-0000-00004F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24150" y="10972800"/>
          <a:ext cx="155448" cy="164592"/>
        </a:xfrm>
        <a:prstGeom prst="rect">
          <a:avLst/>
        </a:prstGeom>
      </xdr:spPr>
    </xdr:pic>
    <xdr:clientData/>
  </xdr:twoCellAnchor>
  <xdr:twoCellAnchor>
    <xdr:from>
      <xdr:col>13</xdr:col>
      <xdr:colOff>0</xdr:colOff>
      <xdr:row>68</xdr:row>
      <xdr:rowOff>0</xdr:rowOff>
    </xdr:from>
    <xdr:to>
      <xdr:col>14</xdr:col>
      <xdr:colOff>0</xdr:colOff>
      <xdr:row>69</xdr:row>
      <xdr:rowOff>0</xdr:rowOff>
    </xdr:to>
    <xdr:sp macro="" textlink="">
      <xdr:nvSpPr>
        <xdr:cNvPr id="80" name="Freeform 79">
          <a:extLst>
            <a:ext uri="{FF2B5EF4-FFF2-40B4-BE49-F238E27FC236}">
              <a16:creationId xmlns:a16="http://schemas.microsoft.com/office/drawing/2014/main" id="{00000000-0008-0000-0000-000050000000}"/>
            </a:ext>
          </a:extLst>
        </xdr:cNvPr>
        <xdr:cNvSpPr/>
      </xdr:nvSpPr>
      <xdr:spPr>
        <a:xfrm flipH="1">
          <a:off x="12230100" y="192976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68</xdr:row>
      <xdr:rowOff>50321</xdr:rowOff>
    </xdr:from>
    <xdr:to>
      <xdr:col>12</xdr:col>
      <xdr:colOff>316301</xdr:colOff>
      <xdr:row>68</xdr:row>
      <xdr:rowOff>294736</xdr:rowOff>
    </xdr:to>
    <xdr:sp macro="[0]!btnPlusPrimResLeaseAreas_Click" textlink="">
      <xdr:nvSpPr>
        <xdr:cNvPr id="81" name="Plus 80">
          <a:extLst>
            <a:ext uri="{FF2B5EF4-FFF2-40B4-BE49-F238E27FC236}">
              <a16:creationId xmlns:a16="http://schemas.microsoft.com/office/drawing/2014/main" id="{00000000-0008-0000-0000-000051000000}"/>
            </a:ext>
          </a:extLst>
        </xdr:cNvPr>
        <xdr:cNvSpPr/>
      </xdr:nvSpPr>
      <xdr:spPr>
        <a:xfrm>
          <a:off x="11968611" y="193479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68</xdr:row>
      <xdr:rowOff>43132</xdr:rowOff>
    </xdr:from>
    <xdr:to>
      <xdr:col>13</xdr:col>
      <xdr:colOff>287548</xdr:colOff>
      <xdr:row>68</xdr:row>
      <xdr:rowOff>301925</xdr:rowOff>
    </xdr:to>
    <xdr:sp macro="[0]!btnMinusPrimResLeaseAreas_Click" textlink="">
      <xdr:nvSpPr>
        <xdr:cNvPr id="82" name="Minus 81">
          <a:extLst>
            <a:ext uri="{FF2B5EF4-FFF2-40B4-BE49-F238E27FC236}">
              <a16:creationId xmlns:a16="http://schemas.microsoft.com/office/drawing/2014/main" id="{00000000-0008-0000-0000-000052000000}"/>
            </a:ext>
          </a:extLst>
        </xdr:cNvPr>
        <xdr:cNvSpPr/>
      </xdr:nvSpPr>
      <xdr:spPr>
        <a:xfrm>
          <a:off x="12258855" y="193407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68</xdr:row>
      <xdr:rowOff>0</xdr:rowOff>
    </xdr:from>
    <xdr:to>
      <xdr:col>3</xdr:col>
      <xdr:colOff>0</xdr:colOff>
      <xdr:row>69</xdr:row>
      <xdr:rowOff>0</xdr:rowOff>
    </xdr:to>
    <xdr:sp macro="" textlink="">
      <xdr:nvSpPr>
        <xdr:cNvPr id="83" name="Freeform 82">
          <a:extLst>
            <a:ext uri="{FF2B5EF4-FFF2-40B4-BE49-F238E27FC236}">
              <a16:creationId xmlns:a16="http://schemas.microsoft.com/office/drawing/2014/main" id="{00000000-0008-0000-0000-000053000000}"/>
            </a:ext>
          </a:extLst>
        </xdr:cNvPr>
        <xdr:cNvSpPr/>
      </xdr:nvSpPr>
      <xdr:spPr>
        <a:xfrm>
          <a:off x="601598" y="192976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627591</xdr:colOff>
      <xdr:row>72</xdr:row>
      <xdr:rowOff>88900</xdr:rowOff>
    </xdr:from>
    <xdr:to>
      <xdr:col>4</xdr:col>
      <xdr:colOff>783039</xdr:colOff>
      <xdr:row>72</xdr:row>
      <xdr:rowOff>253492</xdr:rowOff>
    </xdr:to>
    <xdr:pic macro="[0]!SetVF_Click">
      <xdr:nvPicPr>
        <xdr:cNvPr id="84" name="Picture 83">
          <a:extLst>
            <a:ext uri="{FF2B5EF4-FFF2-40B4-BE49-F238E27FC236}">
              <a16:creationId xmlns:a16="http://schemas.microsoft.com/office/drawing/2014/main" id="{00000000-0008-0000-0000-000054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5724" y="12467167"/>
          <a:ext cx="155448" cy="164592"/>
        </a:xfrm>
        <a:prstGeom prst="rect">
          <a:avLst/>
        </a:prstGeom>
      </xdr:spPr>
    </xdr:pic>
    <xdr:clientData/>
  </xdr:twoCellAnchor>
  <xdr:twoCellAnchor>
    <xdr:from>
      <xdr:col>4</xdr:col>
      <xdr:colOff>747183</xdr:colOff>
      <xdr:row>73</xdr:row>
      <xdr:rowOff>84667</xdr:rowOff>
    </xdr:from>
    <xdr:to>
      <xdr:col>4</xdr:col>
      <xdr:colOff>902631</xdr:colOff>
      <xdr:row>73</xdr:row>
      <xdr:rowOff>249259</xdr:rowOff>
    </xdr:to>
    <xdr:pic macro="[0]!btnPrimResLeaseAMRInfo_Click">
      <xdr:nvPicPr>
        <xdr:cNvPr id="85" name="Picture 84">
          <a:extLst>
            <a:ext uri="{FF2B5EF4-FFF2-40B4-BE49-F238E27FC236}">
              <a16:creationId xmlns:a16="http://schemas.microsoft.com/office/drawing/2014/main" id="{00000000-0008-0000-0000-000055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45316" y="12784667"/>
          <a:ext cx="155448" cy="164592"/>
        </a:xfrm>
        <a:prstGeom prst="rect">
          <a:avLst/>
        </a:prstGeom>
      </xdr:spPr>
    </xdr:pic>
    <xdr:clientData/>
  </xdr:twoCellAnchor>
  <xdr:twoCellAnchor>
    <xdr:from>
      <xdr:col>13</xdr:col>
      <xdr:colOff>0</xdr:colOff>
      <xdr:row>75</xdr:row>
      <xdr:rowOff>0</xdr:rowOff>
    </xdr:from>
    <xdr:to>
      <xdr:col>14</xdr:col>
      <xdr:colOff>0</xdr:colOff>
      <xdr:row>76</xdr:row>
      <xdr:rowOff>0</xdr:rowOff>
    </xdr:to>
    <xdr:sp macro="" textlink="">
      <xdr:nvSpPr>
        <xdr:cNvPr id="86" name="Freeform 85">
          <a:extLst>
            <a:ext uri="{FF2B5EF4-FFF2-40B4-BE49-F238E27FC236}">
              <a16:creationId xmlns:a16="http://schemas.microsoft.com/office/drawing/2014/main" id="{00000000-0008-0000-0000-000056000000}"/>
            </a:ext>
          </a:extLst>
        </xdr:cNvPr>
        <xdr:cNvSpPr/>
      </xdr:nvSpPr>
      <xdr:spPr>
        <a:xfrm flipH="1">
          <a:off x="12230100" y="211074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75</xdr:row>
      <xdr:rowOff>50321</xdr:rowOff>
    </xdr:from>
    <xdr:to>
      <xdr:col>12</xdr:col>
      <xdr:colOff>316301</xdr:colOff>
      <xdr:row>75</xdr:row>
      <xdr:rowOff>294736</xdr:rowOff>
    </xdr:to>
    <xdr:sp macro="[0]!btnPlusPrimResLeaseAreas_Click" textlink="">
      <xdr:nvSpPr>
        <xdr:cNvPr id="87" name="Plus 86">
          <a:extLst>
            <a:ext uri="{FF2B5EF4-FFF2-40B4-BE49-F238E27FC236}">
              <a16:creationId xmlns:a16="http://schemas.microsoft.com/office/drawing/2014/main" id="{00000000-0008-0000-0000-000057000000}"/>
            </a:ext>
          </a:extLst>
        </xdr:cNvPr>
        <xdr:cNvSpPr/>
      </xdr:nvSpPr>
      <xdr:spPr>
        <a:xfrm>
          <a:off x="11968611" y="211577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75</xdr:row>
      <xdr:rowOff>43132</xdr:rowOff>
    </xdr:from>
    <xdr:to>
      <xdr:col>13</xdr:col>
      <xdr:colOff>287548</xdr:colOff>
      <xdr:row>75</xdr:row>
      <xdr:rowOff>301925</xdr:rowOff>
    </xdr:to>
    <xdr:sp macro="[0]!btnMinusPrimResLeaseAreas_Click" textlink="">
      <xdr:nvSpPr>
        <xdr:cNvPr id="88" name="Minus 87">
          <a:extLst>
            <a:ext uri="{FF2B5EF4-FFF2-40B4-BE49-F238E27FC236}">
              <a16:creationId xmlns:a16="http://schemas.microsoft.com/office/drawing/2014/main" id="{00000000-0008-0000-0000-000058000000}"/>
            </a:ext>
          </a:extLst>
        </xdr:cNvPr>
        <xdr:cNvSpPr/>
      </xdr:nvSpPr>
      <xdr:spPr>
        <a:xfrm>
          <a:off x="12258855" y="211505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75</xdr:row>
      <xdr:rowOff>0</xdr:rowOff>
    </xdr:from>
    <xdr:to>
      <xdr:col>3</xdr:col>
      <xdr:colOff>0</xdr:colOff>
      <xdr:row>76</xdr:row>
      <xdr:rowOff>0</xdr:rowOff>
    </xdr:to>
    <xdr:sp macro="" textlink="">
      <xdr:nvSpPr>
        <xdr:cNvPr id="89" name="Freeform 88">
          <a:extLst>
            <a:ext uri="{FF2B5EF4-FFF2-40B4-BE49-F238E27FC236}">
              <a16:creationId xmlns:a16="http://schemas.microsoft.com/office/drawing/2014/main" id="{00000000-0008-0000-0000-000059000000}"/>
            </a:ext>
          </a:extLst>
        </xdr:cNvPr>
        <xdr:cNvSpPr/>
      </xdr:nvSpPr>
      <xdr:spPr>
        <a:xfrm>
          <a:off x="601598" y="211074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619125</xdr:colOff>
      <xdr:row>79</xdr:row>
      <xdr:rowOff>71967</xdr:rowOff>
    </xdr:from>
    <xdr:to>
      <xdr:col>4</xdr:col>
      <xdr:colOff>774573</xdr:colOff>
      <xdr:row>79</xdr:row>
      <xdr:rowOff>236559</xdr:rowOff>
    </xdr:to>
    <xdr:pic macro="[0]!SetVF_Click">
      <xdr:nvPicPr>
        <xdr:cNvPr id="90" name="Picture 89">
          <a:extLst>
            <a:ext uri="{FF2B5EF4-FFF2-40B4-BE49-F238E27FC236}">
              <a16:creationId xmlns:a16="http://schemas.microsoft.com/office/drawing/2014/main" id="{00000000-0008-0000-0000-00005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17258" y="14245167"/>
          <a:ext cx="155448" cy="164592"/>
        </a:xfrm>
        <a:prstGeom prst="rect">
          <a:avLst/>
        </a:prstGeom>
      </xdr:spPr>
    </xdr:pic>
    <xdr:clientData/>
  </xdr:twoCellAnchor>
  <xdr:twoCellAnchor>
    <xdr:from>
      <xdr:col>4</xdr:col>
      <xdr:colOff>764117</xdr:colOff>
      <xdr:row>80</xdr:row>
      <xdr:rowOff>84667</xdr:rowOff>
    </xdr:from>
    <xdr:to>
      <xdr:col>4</xdr:col>
      <xdr:colOff>919565</xdr:colOff>
      <xdr:row>80</xdr:row>
      <xdr:rowOff>249259</xdr:rowOff>
    </xdr:to>
    <xdr:pic macro="[0]!btnPrimResLeaseAMRInfo_Click">
      <xdr:nvPicPr>
        <xdr:cNvPr id="91" name="Picture 90">
          <a:extLst>
            <a:ext uri="{FF2B5EF4-FFF2-40B4-BE49-F238E27FC236}">
              <a16:creationId xmlns:a16="http://schemas.microsoft.com/office/drawing/2014/main" id="{00000000-0008-0000-0000-00005B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14579600"/>
          <a:ext cx="155448" cy="164592"/>
        </a:xfrm>
        <a:prstGeom prst="rect">
          <a:avLst/>
        </a:prstGeom>
      </xdr:spPr>
    </xdr:pic>
    <xdr:clientData/>
  </xdr:twoCellAnchor>
  <xdr:twoCellAnchor>
    <xdr:from>
      <xdr:col>13</xdr:col>
      <xdr:colOff>0</xdr:colOff>
      <xdr:row>88</xdr:row>
      <xdr:rowOff>0</xdr:rowOff>
    </xdr:from>
    <xdr:to>
      <xdr:col>14</xdr:col>
      <xdr:colOff>0</xdr:colOff>
      <xdr:row>89</xdr:row>
      <xdr:rowOff>0</xdr:rowOff>
    </xdr:to>
    <xdr:sp macro="" textlink="">
      <xdr:nvSpPr>
        <xdr:cNvPr id="92" name="Freeform 91">
          <a:extLst>
            <a:ext uri="{FF2B5EF4-FFF2-40B4-BE49-F238E27FC236}">
              <a16:creationId xmlns:a16="http://schemas.microsoft.com/office/drawing/2014/main" id="{00000000-0008-0000-0000-00005C000000}"/>
            </a:ext>
          </a:extLst>
        </xdr:cNvPr>
        <xdr:cNvSpPr/>
      </xdr:nvSpPr>
      <xdr:spPr>
        <a:xfrm flipH="1">
          <a:off x="12230100" y="50196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88</xdr:row>
      <xdr:rowOff>50321</xdr:rowOff>
    </xdr:from>
    <xdr:to>
      <xdr:col>12</xdr:col>
      <xdr:colOff>316301</xdr:colOff>
      <xdr:row>88</xdr:row>
      <xdr:rowOff>294736</xdr:rowOff>
    </xdr:to>
    <xdr:sp macro="[0]!btnPlusInvSchEAreas_Click" textlink="">
      <xdr:nvSpPr>
        <xdr:cNvPr id="94" name="Plus 93">
          <a:extLst>
            <a:ext uri="{FF2B5EF4-FFF2-40B4-BE49-F238E27FC236}">
              <a16:creationId xmlns:a16="http://schemas.microsoft.com/office/drawing/2014/main" id="{00000000-0008-0000-0000-00005E000000}"/>
            </a:ext>
          </a:extLst>
        </xdr:cNvPr>
        <xdr:cNvSpPr/>
      </xdr:nvSpPr>
      <xdr:spPr>
        <a:xfrm>
          <a:off x="11968611" y="50699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88</xdr:row>
      <xdr:rowOff>43132</xdr:rowOff>
    </xdr:from>
    <xdr:to>
      <xdr:col>13</xdr:col>
      <xdr:colOff>287548</xdr:colOff>
      <xdr:row>88</xdr:row>
      <xdr:rowOff>301925</xdr:rowOff>
    </xdr:to>
    <xdr:sp macro="[0]!btnMinusInvSchEAreas_Click" textlink="">
      <xdr:nvSpPr>
        <xdr:cNvPr id="95" name="Minus 94">
          <a:extLst>
            <a:ext uri="{FF2B5EF4-FFF2-40B4-BE49-F238E27FC236}">
              <a16:creationId xmlns:a16="http://schemas.microsoft.com/office/drawing/2014/main" id="{00000000-0008-0000-0000-00005F000000}"/>
            </a:ext>
          </a:extLst>
        </xdr:cNvPr>
        <xdr:cNvSpPr/>
      </xdr:nvSpPr>
      <xdr:spPr>
        <a:xfrm>
          <a:off x="12258855" y="50628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86</xdr:row>
      <xdr:rowOff>0</xdr:rowOff>
    </xdr:from>
    <xdr:to>
      <xdr:col>3</xdr:col>
      <xdr:colOff>0</xdr:colOff>
      <xdr:row>87</xdr:row>
      <xdr:rowOff>0</xdr:rowOff>
    </xdr:to>
    <xdr:sp macro="[0]!btnShowHideInvSchE_Click" textlink="">
      <xdr:nvSpPr>
        <xdr:cNvPr id="97" name="Rounded Rectangle 96">
          <a:extLst>
            <a:ext uri="{FF2B5EF4-FFF2-40B4-BE49-F238E27FC236}">
              <a16:creationId xmlns:a16="http://schemas.microsoft.com/office/drawing/2014/main" id="{00000000-0008-0000-0000-000061000000}"/>
            </a:ext>
          </a:extLst>
        </xdr:cNvPr>
        <xdr:cNvSpPr/>
      </xdr:nvSpPr>
      <xdr:spPr>
        <a:xfrm>
          <a:off x="600075" y="4581525"/>
          <a:ext cx="371475" cy="36195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2</xdr:col>
      <xdr:colOff>1523</xdr:colOff>
      <xdr:row>88</xdr:row>
      <xdr:rowOff>0</xdr:rowOff>
    </xdr:from>
    <xdr:to>
      <xdr:col>3</xdr:col>
      <xdr:colOff>0</xdr:colOff>
      <xdr:row>89</xdr:row>
      <xdr:rowOff>0</xdr:rowOff>
    </xdr:to>
    <xdr:sp macro="" textlink="">
      <xdr:nvSpPr>
        <xdr:cNvPr id="98" name="Freeform 97">
          <a:extLst>
            <a:ext uri="{FF2B5EF4-FFF2-40B4-BE49-F238E27FC236}">
              <a16:creationId xmlns:a16="http://schemas.microsoft.com/office/drawing/2014/main" id="{00000000-0008-0000-0000-000062000000}"/>
            </a:ext>
          </a:extLst>
        </xdr:cNvPr>
        <xdr:cNvSpPr/>
      </xdr:nvSpPr>
      <xdr:spPr>
        <a:xfrm>
          <a:off x="601598" y="50196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127636</xdr:colOff>
      <xdr:row>102</xdr:row>
      <xdr:rowOff>111166</xdr:rowOff>
    </xdr:from>
    <xdr:to>
      <xdr:col>5</xdr:col>
      <xdr:colOff>278130</xdr:colOff>
      <xdr:row>102</xdr:row>
      <xdr:rowOff>274319</xdr:rowOff>
    </xdr:to>
    <xdr:pic macro="[0]!btnInvSchEInfo_Click">
      <xdr:nvPicPr>
        <xdr:cNvPr id="71" name="Picture 70">
          <a:extLst>
            <a:ext uri="{FF2B5EF4-FFF2-40B4-BE49-F238E27FC236}">
              <a16:creationId xmlns:a16="http://schemas.microsoft.com/office/drawing/2014/main" id="{00000000-0008-0000-0000-00004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32861" y="30133966"/>
          <a:ext cx="150494" cy="163153"/>
        </a:xfrm>
        <a:prstGeom prst="rect">
          <a:avLst/>
        </a:prstGeom>
      </xdr:spPr>
    </xdr:pic>
    <xdr:clientData/>
  </xdr:twoCellAnchor>
  <xdr:twoCellAnchor>
    <xdr:from>
      <xdr:col>2</xdr:col>
      <xdr:colOff>0</xdr:colOff>
      <xdr:row>293</xdr:row>
      <xdr:rowOff>0</xdr:rowOff>
    </xdr:from>
    <xdr:to>
      <xdr:col>3</xdr:col>
      <xdr:colOff>0</xdr:colOff>
      <xdr:row>294</xdr:row>
      <xdr:rowOff>0</xdr:rowOff>
    </xdr:to>
    <xdr:sp macro="[0]!btnShowHideInvLease_Click" textlink="">
      <xdr:nvSpPr>
        <xdr:cNvPr id="150" name="Rounded Rectangle 149">
          <a:extLst>
            <a:ext uri="{FF2B5EF4-FFF2-40B4-BE49-F238E27FC236}">
              <a16:creationId xmlns:a16="http://schemas.microsoft.com/office/drawing/2014/main" id="{00000000-0008-0000-0000-000096000000}"/>
            </a:ext>
          </a:extLst>
        </xdr:cNvPr>
        <xdr:cNvSpPr/>
      </xdr:nvSpPr>
      <xdr:spPr>
        <a:xfrm>
          <a:off x="600075" y="18145125"/>
          <a:ext cx="371475" cy="36195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13</xdr:col>
      <xdr:colOff>0</xdr:colOff>
      <xdr:row>295</xdr:row>
      <xdr:rowOff>0</xdr:rowOff>
    </xdr:from>
    <xdr:to>
      <xdr:col>14</xdr:col>
      <xdr:colOff>0</xdr:colOff>
      <xdr:row>296</xdr:row>
      <xdr:rowOff>0</xdr:rowOff>
    </xdr:to>
    <xdr:sp macro="" textlink="">
      <xdr:nvSpPr>
        <xdr:cNvPr id="151" name="Freeform 150">
          <a:extLst>
            <a:ext uri="{FF2B5EF4-FFF2-40B4-BE49-F238E27FC236}">
              <a16:creationId xmlns:a16="http://schemas.microsoft.com/office/drawing/2014/main" id="{00000000-0008-0000-0000-000097000000}"/>
            </a:ext>
          </a:extLst>
        </xdr:cNvPr>
        <xdr:cNvSpPr/>
      </xdr:nvSpPr>
      <xdr:spPr>
        <a:xfrm flipH="1">
          <a:off x="12230100" y="185832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295</xdr:row>
      <xdr:rowOff>50321</xdr:rowOff>
    </xdr:from>
    <xdr:to>
      <xdr:col>12</xdr:col>
      <xdr:colOff>316301</xdr:colOff>
      <xdr:row>295</xdr:row>
      <xdr:rowOff>294736</xdr:rowOff>
    </xdr:to>
    <xdr:sp macro="[0]!btnPlusInvLeaseAreas_Click" textlink="">
      <xdr:nvSpPr>
        <xdr:cNvPr id="152" name="Plus 151">
          <a:extLst>
            <a:ext uri="{FF2B5EF4-FFF2-40B4-BE49-F238E27FC236}">
              <a16:creationId xmlns:a16="http://schemas.microsoft.com/office/drawing/2014/main" id="{00000000-0008-0000-0000-000098000000}"/>
            </a:ext>
          </a:extLst>
        </xdr:cNvPr>
        <xdr:cNvSpPr/>
      </xdr:nvSpPr>
      <xdr:spPr>
        <a:xfrm>
          <a:off x="11968611" y="186335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295</xdr:row>
      <xdr:rowOff>43132</xdr:rowOff>
    </xdr:from>
    <xdr:to>
      <xdr:col>13</xdr:col>
      <xdr:colOff>287548</xdr:colOff>
      <xdr:row>295</xdr:row>
      <xdr:rowOff>301925</xdr:rowOff>
    </xdr:to>
    <xdr:sp macro="[0]!btnMinusInvLeaseAreas_Click" textlink="">
      <xdr:nvSpPr>
        <xdr:cNvPr id="153" name="Minus 152">
          <a:extLst>
            <a:ext uri="{FF2B5EF4-FFF2-40B4-BE49-F238E27FC236}">
              <a16:creationId xmlns:a16="http://schemas.microsoft.com/office/drawing/2014/main" id="{00000000-0008-0000-0000-000099000000}"/>
            </a:ext>
          </a:extLst>
        </xdr:cNvPr>
        <xdr:cNvSpPr/>
      </xdr:nvSpPr>
      <xdr:spPr>
        <a:xfrm>
          <a:off x="12258855" y="186264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295</xdr:row>
      <xdr:rowOff>0</xdr:rowOff>
    </xdr:from>
    <xdr:to>
      <xdr:col>3</xdr:col>
      <xdr:colOff>0</xdr:colOff>
      <xdr:row>296</xdr:row>
      <xdr:rowOff>0</xdr:rowOff>
    </xdr:to>
    <xdr:sp macro="" textlink="">
      <xdr:nvSpPr>
        <xdr:cNvPr id="154" name="Freeform 153">
          <a:extLst>
            <a:ext uri="{FF2B5EF4-FFF2-40B4-BE49-F238E27FC236}">
              <a16:creationId xmlns:a16="http://schemas.microsoft.com/office/drawing/2014/main" id="{00000000-0008-0000-0000-00009A000000}"/>
            </a:ext>
          </a:extLst>
        </xdr:cNvPr>
        <xdr:cNvSpPr/>
      </xdr:nvSpPr>
      <xdr:spPr>
        <a:xfrm>
          <a:off x="601598" y="185832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299</xdr:row>
      <xdr:rowOff>91440</xdr:rowOff>
    </xdr:from>
    <xdr:to>
      <xdr:col>4</xdr:col>
      <xdr:colOff>759333</xdr:colOff>
      <xdr:row>299</xdr:row>
      <xdr:rowOff>256032</xdr:rowOff>
    </xdr:to>
    <xdr:pic macro="[0]!SetVF_Click">
      <xdr:nvPicPr>
        <xdr:cNvPr id="155" name="Picture 154">
          <a:extLst>
            <a:ext uri="{FF2B5EF4-FFF2-40B4-BE49-F238E27FC236}">
              <a16:creationId xmlns:a16="http://schemas.microsoft.com/office/drawing/2014/main" id="{00000000-0008-0000-0000-00009B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9760565"/>
          <a:ext cx="155448" cy="164592"/>
        </a:xfrm>
        <a:prstGeom prst="rect">
          <a:avLst/>
        </a:prstGeom>
      </xdr:spPr>
    </xdr:pic>
    <xdr:clientData/>
  </xdr:twoCellAnchor>
  <xdr:twoCellAnchor>
    <xdr:from>
      <xdr:col>4</xdr:col>
      <xdr:colOff>1508760</xdr:colOff>
      <xdr:row>302</xdr:row>
      <xdr:rowOff>86994</xdr:rowOff>
    </xdr:from>
    <xdr:to>
      <xdr:col>4</xdr:col>
      <xdr:colOff>1664208</xdr:colOff>
      <xdr:row>302</xdr:row>
      <xdr:rowOff>251586</xdr:rowOff>
    </xdr:to>
    <xdr:pic macro="[0]!btnInvLeaseNETInfo_Click">
      <xdr:nvPicPr>
        <xdr:cNvPr id="157" name="Picture 156">
          <a:extLst>
            <a:ext uri="{FF2B5EF4-FFF2-40B4-BE49-F238E27FC236}">
              <a16:creationId xmlns:a16="http://schemas.microsoft.com/office/drawing/2014/main" id="{00000000-0008-0000-0000-00009D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89723594"/>
          <a:ext cx="155448" cy="164592"/>
        </a:xfrm>
        <a:prstGeom prst="rect">
          <a:avLst/>
        </a:prstGeom>
      </xdr:spPr>
    </xdr:pic>
    <xdr:clientData/>
  </xdr:twoCellAnchor>
  <xdr:twoCellAnchor>
    <xdr:from>
      <xdr:col>13</xdr:col>
      <xdr:colOff>0</xdr:colOff>
      <xdr:row>304</xdr:row>
      <xdr:rowOff>0</xdr:rowOff>
    </xdr:from>
    <xdr:to>
      <xdr:col>14</xdr:col>
      <xdr:colOff>0</xdr:colOff>
      <xdr:row>305</xdr:row>
      <xdr:rowOff>0</xdr:rowOff>
    </xdr:to>
    <xdr:sp macro="" textlink="">
      <xdr:nvSpPr>
        <xdr:cNvPr id="158" name="Freeform 157">
          <a:extLst>
            <a:ext uri="{FF2B5EF4-FFF2-40B4-BE49-F238E27FC236}">
              <a16:creationId xmlns:a16="http://schemas.microsoft.com/office/drawing/2014/main" id="{00000000-0008-0000-0000-00009E000000}"/>
            </a:ext>
          </a:extLst>
        </xdr:cNvPr>
        <xdr:cNvSpPr/>
      </xdr:nvSpPr>
      <xdr:spPr>
        <a:xfrm flipH="1">
          <a:off x="12230100" y="315944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304</xdr:row>
      <xdr:rowOff>50321</xdr:rowOff>
    </xdr:from>
    <xdr:to>
      <xdr:col>12</xdr:col>
      <xdr:colOff>316301</xdr:colOff>
      <xdr:row>304</xdr:row>
      <xdr:rowOff>294736</xdr:rowOff>
    </xdr:to>
    <xdr:sp macro="[0]!btnPlusInvLeaseAreas_Click" textlink="">
      <xdr:nvSpPr>
        <xdr:cNvPr id="159" name="Plus 158">
          <a:extLst>
            <a:ext uri="{FF2B5EF4-FFF2-40B4-BE49-F238E27FC236}">
              <a16:creationId xmlns:a16="http://schemas.microsoft.com/office/drawing/2014/main" id="{00000000-0008-0000-0000-00009F000000}"/>
            </a:ext>
          </a:extLst>
        </xdr:cNvPr>
        <xdr:cNvSpPr/>
      </xdr:nvSpPr>
      <xdr:spPr>
        <a:xfrm>
          <a:off x="11968611" y="316447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304</xdr:row>
      <xdr:rowOff>43132</xdr:rowOff>
    </xdr:from>
    <xdr:to>
      <xdr:col>13</xdr:col>
      <xdr:colOff>287548</xdr:colOff>
      <xdr:row>304</xdr:row>
      <xdr:rowOff>301925</xdr:rowOff>
    </xdr:to>
    <xdr:sp macro="[0]!btnMinusInvLeaseAreas_Click" textlink="">
      <xdr:nvSpPr>
        <xdr:cNvPr id="160" name="Minus 159">
          <a:extLst>
            <a:ext uri="{FF2B5EF4-FFF2-40B4-BE49-F238E27FC236}">
              <a16:creationId xmlns:a16="http://schemas.microsoft.com/office/drawing/2014/main" id="{00000000-0008-0000-0000-0000A0000000}"/>
            </a:ext>
          </a:extLst>
        </xdr:cNvPr>
        <xdr:cNvSpPr/>
      </xdr:nvSpPr>
      <xdr:spPr>
        <a:xfrm>
          <a:off x="12258855" y="316375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304</xdr:row>
      <xdr:rowOff>0</xdr:rowOff>
    </xdr:from>
    <xdr:to>
      <xdr:col>3</xdr:col>
      <xdr:colOff>0</xdr:colOff>
      <xdr:row>305</xdr:row>
      <xdr:rowOff>0</xdr:rowOff>
    </xdr:to>
    <xdr:sp macro="" textlink="">
      <xdr:nvSpPr>
        <xdr:cNvPr id="161" name="Freeform 160">
          <a:extLst>
            <a:ext uri="{FF2B5EF4-FFF2-40B4-BE49-F238E27FC236}">
              <a16:creationId xmlns:a16="http://schemas.microsoft.com/office/drawing/2014/main" id="{00000000-0008-0000-0000-0000A1000000}"/>
            </a:ext>
          </a:extLst>
        </xdr:cNvPr>
        <xdr:cNvSpPr/>
      </xdr:nvSpPr>
      <xdr:spPr>
        <a:xfrm>
          <a:off x="601598" y="315944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308</xdr:row>
      <xdr:rowOff>91440</xdr:rowOff>
    </xdr:from>
    <xdr:to>
      <xdr:col>4</xdr:col>
      <xdr:colOff>759333</xdr:colOff>
      <xdr:row>308</xdr:row>
      <xdr:rowOff>256032</xdr:rowOff>
    </xdr:to>
    <xdr:pic macro="[0]!SetVF_Click">
      <xdr:nvPicPr>
        <xdr:cNvPr id="162" name="Picture 161">
          <a:extLst>
            <a:ext uri="{FF2B5EF4-FFF2-40B4-BE49-F238E27FC236}">
              <a16:creationId xmlns:a16="http://schemas.microsoft.com/office/drawing/2014/main" id="{00000000-0008-0000-0000-0000A2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32771715"/>
          <a:ext cx="155448" cy="164592"/>
        </a:xfrm>
        <a:prstGeom prst="rect">
          <a:avLst/>
        </a:prstGeom>
      </xdr:spPr>
    </xdr:pic>
    <xdr:clientData/>
  </xdr:twoCellAnchor>
  <xdr:twoCellAnchor>
    <xdr:from>
      <xdr:col>4</xdr:col>
      <xdr:colOff>1508760</xdr:colOff>
      <xdr:row>311</xdr:row>
      <xdr:rowOff>86994</xdr:rowOff>
    </xdr:from>
    <xdr:to>
      <xdr:col>4</xdr:col>
      <xdr:colOff>1664208</xdr:colOff>
      <xdr:row>311</xdr:row>
      <xdr:rowOff>251586</xdr:rowOff>
    </xdr:to>
    <xdr:pic macro="[0]!btnInvLeaseNETInfo_Click">
      <xdr:nvPicPr>
        <xdr:cNvPr id="163" name="Picture 162">
          <a:extLst>
            <a:ext uri="{FF2B5EF4-FFF2-40B4-BE49-F238E27FC236}">
              <a16:creationId xmlns:a16="http://schemas.microsoft.com/office/drawing/2014/main" id="{00000000-0008-0000-0000-0000A3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92161994"/>
          <a:ext cx="155448" cy="164592"/>
        </a:xfrm>
        <a:prstGeom prst="rect">
          <a:avLst/>
        </a:prstGeom>
      </xdr:spPr>
    </xdr:pic>
    <xdr:clientData/>
  </xdr:twoCellAnchor>
  <xdr:twoCellAnchor>
    <xdr:from>
      <xdr:col>13</xdr:col>
      <xdr:colOff>0</xdr:colOff>
      <xdr:row>313</xdr:row>
      <xdr:rowOff>0</xdr:rowOff>
    </xdr:from>
    <xdr:to>
      <xdr:col>14</xdr:col>
      <xdr:colOff>0</xdr:colOff>
      <xdr:row>314</xdr:row>
      <xdr:rowOff>0</xdr:rowOff>
    </xdr:to>
    <xdr:sp macro="" textlink="">
      <xdr:nvSpPr>
        <xdr:cNvPr id="164" name="Freeform 163">
          <a:extLst>
            <a:ext uri="{FF2B5EF4-FFF2-40B4-BE49-F238E27FC236}">
              <a16:creationId xmlns:a16="http://schemas.microsoft.com/office/drawing/2014/main" id="{00000000-0008-0000-0000-0000A4000000}"/>
            </a:ext>
          </a:extLst>
        </xdr:cNvPr>
        <xdr:cNvSpPr/>
      </xdr:nvSpPr>
      <xdr:spPr>
        <a:xfrm flipH="1">
          <a:off x="12230100" y="340518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313</xdr:row>
      <xdr:rowOff>50321</xdr:rowOff>
    </xdr:from>
    <xdr:to>
      <xdr:col>12</xdr:col>
      <xdr:colOff>316301</xdr:colOff>
      <xdr:row>313</xdr:row>
      <xdr:rowOff>294736</xdr:rowOff>
    </xdr:to>
    <xdr:sp macro="[0]!btnPlusInvLeaseAreas_Click" textlink="">
      <xdr:nvSpPr>
        <xdr:cNvPr id="165" name="Plus 164">
          <a:extLst>
            <a:ext uri="{FF2B5EF4-FFF2-40B4-BE49-F238E27FC236}">
              <a16:creationId xmlns:a16="http://schemas.microsoft.com/office/drawing/2014/main" id="{00000000-0008-0000-0000-0000A5000000}"/>
            </a:ext>
          </a:extLst>
        </xdr:cNvPr>
        <xdr:cNvSpPr/>
      </xdr:nvSpPr>
      <xdr:spPr>
        <a:xfrm>
          <a:off x="11968611" y="341021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313</xdr:row>
      <xdr:rowOff>43132</xdr:rowOff>
    </xdr:from>
    <xdr:to>
      <xdr:col>13</xdr:col>
      <xdr:colOff>287548</xdr:colOff>
      <xdr:row>313</xdr:row>
      <xdr:rowOff>301925</xdr:rowOff>
    </xdr:to>
    <xdr:sp macro="[0]!btnMinusInvLeaseAreas_Click" textlink="">
      <xdr:nvSpPr>
        <xdr:cNvPr id="166" name="Minus 165">
          <a:extLst>
            <a:ext uri="{FF2B5EF4-FFF2-40B4-BE49-F238E27FC236}">
              <a16:creationId xmlns:a16="http://schemas.microsoft.com/office/drawing/2014/main" id="{00000000-0008-0000-0000-0000A6000000}"/>
            </a:ext>
          </a:extLst>
        </xdr:cNvPr>
        <xdr:cNvSpPr/>
      </xdr:nvSpPr>
      <xdr:spPr>
        <a:xfrm>
          <a:off x="12258855" y="340950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313</xdr:row>
      <xdr:rowOff>0</xdr:rowOff>
    </xdr:from>
    <xdr:to>
      <xdr:col>3</xdr:col>
      <xdr:colOff>0</xdr:colOff>
      <xdr:row>314</xdr:row>
      <xdr:rowOff>0</xdr:rowOff>
    </xdr:to>
    <xdr:sp macro="" textlink="">
      <xdr:nvSpPr>
        <xdr:cNvPr id="167" name="Freeform 166">
          <a:extLst>
            <a:ext uri="{FF2B5EF4-FFF2-40B4-BE49-F238E27FC236}">
              <a16:creationId xmlns:a16="http://schemas.microsoft.com/office/drawing/2014/main" id="{00000000-0008-0000-0000-0000A7000000}"/>
            </a:ext>
          </a:extLst>
        </xdr:cNvPr>
        <xdr:cNvSpPr/>
      </xdr:nvSpPr>
      <xdr:spPr>
        <a:xfrm>
          <a:off x="601598" y="340518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317</xdr:row>
      <xdr:rowOff>91440</xdr:rowOff>
    </xdr:from>
    <xdr:to>
      <xdr:col>4</xdr:col>
      <xdr:colOff>759333</xdr:colOff>
      <xdr:row>317</xdr:row>
      <xdr:rowOff>256032</xdr:rowOff>
    </xdr:to>
    <xdr:pic macro="[0]!SetVF_Click">
      <xdr:nvPicPr>
        <xdr:cNvPr id="168" name="Picture 167">
          <a:extLst>
            <a:ext uri="{FF2B5EF4-FFF2-40B4-BE49-F238E27FC236}">
              <a16:creationId xmlns:a16="http://schemas.microsoft.com/office/drawing/2014/main" id="{00000000-0008-0000-0000-0000A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35229165"/>
          <a:ext cx="155448" cy="164592"/>
        </a:xfrm>
        <a:prstGeom prst="rect">
          <a:avLst/>
        </a:prstGeom>
      </xdr:spPr>
    </xdr:pic>
    <xdr:clientData/>
  </xdr:twoCellAnchor>
  <xdr:twoCellAnchor>
    <xdr:from>
      <xdr:col>4</xdr:col>
      <xdr:colOff>1508760</xdr:colOff>
      <xdr:row>320</xdr:row>
      <xdr:rowOff>86994</xdr:rowOff>
    </xdr:from>
    <xdr:to>
      <xdr:col>4</xdr:col>
      <xdr:colOff>1664208</xdr:colOff>
      <xdr:row>320</xdr:row>
      <xdr:rowOff>251586</xdr:rowOff>
    </xdr:to>
    <xdr:pic macro="[0]!btnInvLeaseNETInfo_Click">
      <xdr:nvPicPr>
        <xdr:cNvPr id="169" name="Picture 168">
          <a:extLst>
            <a:ext uri="{FF2B5EF4-FFF2-40B4-BE49-F238E27FC236}">
              <a16:creationId xmlns:a16="http://schemas.microsoft.com/office/drawing/2014/main" id="{00000000-0008-0000-0000-0000A9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94600394"/>
          <a:ext cx="155448" cy="164592"/>
        </a:xfrm>
        <a:prstGeom prst="rect">
          <a:avLst/>
        </a:prstGeom>
      </xdr:spPr>
    </xdr:pic>
    <xdr:clientData/>
  </xdr:twoCellAnchor>
  <xdr:twoCellAnchor>
    <xdr:from>
      <xdr:col>13</xdr:col>
      <xdr:colOff>0</xdr:colOff>
      <xdr:row>322</xdr:row>
      <xdr:rowOff>0</xdr:rowOff>
    </xdr:from>
    <xdr:to>
      <xdr:col>14</xdr:col>
      <xdr:colOff>0</xdr:colOff>
      <xdr:row>323</xdr:row>
      <xdr:rowOff>0</xdr:rowOff>
    </xdr:to>
    <xdr:sp macro="" textlink="">
      <xdr:nvSpPr>
        <xdr:cNvPr id="170" name="Freeform 169">
          <a:extLst>
            <a:ext uri="{FF2B5EF4-FFF2-40B4-BE49-F238E27FC236}">
              <a16:creationId xmlns:a16="http://schemas.microsoft.com/office/drawing/2014/main" id="{00000000-0008-0000-0000-0000AA000000}"/>
            </a:ext>
          </a:extLst>
        </xdr:cNvPr>
        <xdr:cNvSpPr/>
      </xdr:nvSpPr>
      <xdr:spPr>
        <a:xfrm flipH="1">
          <a:off x="12230100" y="365093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322</xdr:row>
      <xdr:rowOff>50321</xdr:rowOff>
    </xdr:from>
    <xdr:to>
      <xdr:col>12</xdr:col>
      <xdr:colOff>316301</xdr:colOff>
      <xdr:row>322</xdr:row>
      <xdr:rowOff>294736</xdr:rowOff>
    </xdr:to>
    <xdr:sp macro="[0]!btnPlusInvLeaseAreas_Click" textlink="">
      <xdr:nvSpPr>
        <xdr:cNvPr id="171" name="Plus 170">
          <a:extLst>
            <a:ext uri="{FF2B5EF4-FFF2-40B4-BE49-F238E27FC236}">
              <a16:creationId xmlns:a16="http://schemas.microsoft.com/office/drawing/2014/main" id="{00000000-0008-0000-0000-0000AB000000}"/>
            </a:ext>
          </a:extLst>
        </xdr:cNvPr>
        <xdr:cNvSpPr/>
      </xdr:nvSpPr>
      <xdr:spPr>
        <a:xfrm>
          <a:off x="11968611" y="365596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322</xdr:row>
      <xdr:rowOff>43132</xdr:rowOff>
    </xdr:from>
    <xdr:to>
      <xdr:col>13</xdr:col>
      <xdr:colOff>287548</xdr:colOff>
      <xdr:row>322</xdr:row>
      <xdr:rowOff>301925</xdr:rowOff>
    </xdr:to>
    <xdr:sp macro="[0]!btnMinusInvLeaseAreas_Click" textlink="">
      <xdr:nvSpPr>
        <xdr:cNvPr id="172" name="Minus 171">
          <a:extLst>
            <a:ext uri="{FF2B5EF4-FFF2-40B4-BE49-F238E27FC236}">
              <a16:creationId xmlns:a16="http://schemas.microsoft.com/office/drawing/2014/main" id="{00000000-0008-0000-0000-0000AC000000}"/>
            </a:ext>
          </a:extLst>
        </xdr:cNvPr>
        <xdr:cNvSpPr/>
      </xdr:nvSpPr>
      <xdr:spPr>
        <a:xfrm>
          <a:off x="12258855" y="365524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322</xdr:row>
      <xdr:rowOff>0</xdr:rowOff>
    </xdr:from>
    <xdr:to>
      <xdr:col>3</xdr:col>
      <xdr:colOff>0</xdr:colOff>
      <xdr:row>323</xdr:row>
      <xdr:rowOff>0</xdr:rowOff>
    </xdr:to>
    <xdr:sp macro="" textlink="">
      <xdr:nvSpPr>
        <xdr:cNvPr id="173" name="Freeform 172">
          <a:extLst>
            <a:ext uri="{FF2B5EF4-FFF2-40B4-BE49-F238E27FC236}">
              <a16:creationId xmlns:a16="http://schemas.microsoft.com/office/drawing/2014/main" id="{00000000-0008-0000-0000-0000AD000000}"/>
            </a:ext>
          </a:extLst>
        </xdr:cNvPr>
        <xdr:cNvSpPr/>
      </xdr:nvSpPr>
      <xdr:spPr>
        <a:xfrm>
          <a:off x="601598" y="365093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326</xdr:row>
      <xdr:rowOff>91440</xdr:rowOff>
    </xdr:from>
    <xdr:to>
      <xdr:col>4</xdr:col>
      <xdr:colOff>759333</xdr:colOff>
      <xdr:row>326</xdr:row>
      <xdr:rowOff>256032</xdr:rowOff>
    </xdr:to>
    <xdr:pic macro="[0]!SetVF_Click">
      <xdr:nvPicPr>
        <xdr:cNvPr id="174" name="Picture 173">
          <a:extLst>
            <a:ext uri="{FF2B5EF4-FFF2-40B4-BE49-F238E27FC236}">
              <a16:creationId xmlns:a16="http://schemas.microsoft.com/office/drawing/2014/main" id="{00000000-0008-0000-0000-0000AE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37686615"/>
          <a:ext cx="155448" cy="164592"/>
        </a:xfrm>
        <a:prstGeom prst="rect">
          <a:avLst/>
        </a:prstGeom>
      </xdr:spPr>
    </xdr:pic>
    <xdr:clientData/>
  </xdr:twoCellAnchor>
  <xdr:twoCellAnchor>
    <xdr:from>
      <xdr:col>4</xdr:col>
      <xdr:colOff>1508760</xdr:colOff>
      <xdr:row>329</xdr:row>
      <xdr:rowOff>86994</xdr:rowOff>
    </xdr:from>
    <xdr:to>
      <xdr:col>4</xdr:col>
      <xdr:colOff>1664208</xdr:colOff>
      <xdr:row>329</xdr:row>
      <xdr:rowOff>251586</xdr:rowOff>
    </xdr:to>
    <xdr:pic macro="[0]!btnInvLeaseNETInfo_Click">
      <xdr:nvPicPr>
        <xdr:cNvPr id="175" name="Picture 174">
          <a:extLst>
            <a:ext uri="{FF2B5EF4-FFF2-40B4-BE49-F238E27FC236}">
              <a16:creationId xmlns:a16="http://schemas.microsoft.com/office/drawing/2014/main" id="{00000000-0008-0000-0000-0000AF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97038794"/>
          <a:ext cx="155448" cy="164592"/>
        </a:xfrm>
        <a:prstGeom prst="rect">
          <a:avLst/>
        </a:prstGeom>
      </xdr:spPr>
    </xdr:pic>
    <xdr:clientData/>
  </xdr:twoCellAnchor>
  <xdr:twoCellAnchor>
    <xdr:from>
      <xdr:col>13</xdr:col>
      <xdr:colOff>0</xdr:colOff>
      <xdr:row>331</xdr:row>
      <xdr:rowOff>0</xdr:rowOff>
    </xdr:from>
    <xdr:to>
      <xdr:col>14</xdr:col>
      <xdr:colOff>0</xdr:colOff>
      <xdr:row>332</xdr:row>
      <xdr:rowOff>0</xdr:rowOff>
    </xdr:to>
    <xdr:sp macro="" textlink="">
      <xdr:nvSpPr>
        <xdr:cNvPr id="176" name="Freeform 175">
          <a:extLst>
            <a:ext uri="{FF2B5EF4-FFF2-40B4-BE49-F238E27FC236}">
              <a16:creationId xmlns:a16="http://schemas.microsoft.com/office/drawing/2014/main" id="{00000000-0008-0000-0000-0000B0000000}"/>
            </a:ext>
          </a:extLst>
        </xdr:cNvPr>
        <xdr:cNvSpPr/>
      </xdr:nvSpPr>
      <xdr:spPr>
        <a:xfrm flipH="1">
          <a:off x="12230100" y="389667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331</xdr:row>
      <xdr:rowOff>50321</xdr:rowOff>
    </xdr:from>
    <xdr:to>
      <xdr:col>12</xdr:col>
      <xdr:colOff>316301</xdr:colOff>
      <xdr:row>331</xdr:row>
      <xdr:rowOff>294736</xdr:rowOff>
    </xdr:to>
    <xdr:sp macro="[0]!btnPlusInvLeaseAreas_Click" textlink="">
      <xdr:nvSpPr>
        <xdr:cNvPr id="177" name="Plus 176">
          <a:extLst>
            <a:ext uri="{FF2B5EF4-FFF2-40B4-BE49-F238E27FC236}">
              <a16:creationId xmlns:a16="http://schemas.microsoft.com/office/drawing/2014/main" id="{00000000-0008-0000-0000-0000B1000000}"/>
            </a:ext>
          </a:extLst>
        </xdr:cNvPr>
        <xdr:cNvSpPr/>
      </xdr:nvSpPr>
      <xdr:spPr>
        <a:xfrm>
          <a:off x="11968611" y="390170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331</xdr:row>
      <xdr:rowOff>43132</xdr:rowOff>
    </xdr:from>
    <xdr:to>
      <xdr:col>13</xdr:col>
      <xdr:colOff>287548</xdr:colOff>
      <xdr:row>331</xdr:row>
      <xdr:rowOff>301925</xdr:rowOff>
    </xdr:to>
    <xdr:sp macro="[0]!btnMinusInvLeaseAreas_Click" textlink="">
      <xdr:nvSpPr>
        <xdr:cNvPr id="178" name="Minus 177">
          <a:extLst>
            <a:ext uri="{FF2B5EF4-FFF2-40B4-BE49-F238E27FC236}">
              <a16:creationId xmlns:a16="http://schemas.microsoft.com/office/drawing/2014/main" id="{00000000-0008-0000-0000-0000B2000000}"/>
            </a:ext>
          </a:extLst>
        </xdr:cNvPr>
        <xdr:cNvSpPr/>
      </xdr:nvSpPr>
      <xdr:spPr>
        <a:xfrm>
          <a:off x="12258855" y="390099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331</xdr:row>
      <xdr:rowOff>0</xdr:rowOff>
    </xdr:from>
    <xdr:to>
      <xdr:col>3</xdr:col>
      <xdr:colOff>0</xdr:colOff>
      <xdr:row>332</xdr:row>
      <xdr:rowOff>0</xdr:rowOff>
    </xdr:to>
    <xdr:sp macro="" textlink="">
      <xdr:nvSpPr>
        <xdr:cNvPr id="179" name="Freeform 178">
          <a:extLst>
            <a:ext uri="{FF2B5EF4-FFF2-40B4-BE49-F238E27FC236}">
              <a16:creationId xmlns:a16="http://schemas.microsoft.com/office/drawing/2014/main" id="{00000000-0008-0000-0000-0000B3000000}"/>
            </a:ext>
          </a:extLst>
        </xdr:cNvPr>
        <xdr:cNvSpPr/>
      </xdr:nvSpPr>
      <xdr:spPr>
        <a:xfrm>
          <a:off x="601598" y="1018222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335</xdr:row>
      <xdr:rowOff>91440</xdr:rowOff>
    </xdr:from>
    <xdr:to>
      <xdr:col>4</xdr:col>
      <xdr:colOff>759333</xdr:colOff>
      <xdr:row>335</xdr:row>
      <xdr:rowOff>256032</xdr:rowOff>
    </xdr:to>
    <xdr:pic macro="[0]!SetVF_Click">
      <xdr:nvPicPr>
        <xdr:cNvPr id="180" name="Picture 179">
          <a:extLst>
            <a:ext uri="{FF2B5EF4-FFF2-40B4-BE49-F238E27FC236}">
              <a16:creationId xmlns:a16="http://schemas.microsoft.com/office/drawing/2014/main" id="{00000000-0008-0000-0000-0000B4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40144065"/>
          <a:ext cx="155448" cy="164592"/>
        </a:xfrm>
        <a:prstGeom prst="rect">
          <a:avLst/>
        </a:prstGeom>
      </xdr:spPr>
    </xdr:pic>
    <xdr:clientData/>
  </xdr:twoCellAnchor>
  <xdr:twoCellAnchor>
    <xdr:from>
      <xdr:col>4</xdr:col>
      <xdr:colOff>1508760</xdr:colOff>
      <xdr:row>338</xdr:row>
      <xdr:rowOff>86994</xdr:rowOff>
    </xdr:from>
    <xdr:to>
      <xdr:col>4</xdr:col>
      <xdr:colOff>1664208</xdr:colOff>
      <xdr:row>338</xdr:row>
      <xdr:rowOff>251586</xdr:rowOff>
    </xdr:to>
    <xdr:pic macro="[0]!btnInvLeaseNETInfo_Click">
      <xdr:nvPicPr>
        <xdr:cNvPr id="181" name="Picture 180">
          <a:extLst>
            <a:ext uri="{FF2B5EF4-FFF2-40B4-BE49-F238E27FC236}">
              <a16:creationId xmlns:a16="http://schemas.microsoft.com/office/drawing/2014/main" id="{00000000-0008-0000-0000-0000B5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99477194"/>
          <a:ext cx="155448" cy="164592"/>
        </a:xfrm>
        <a:prstGeom prst="rect">
          <a:avLst/>
        </a:prstGeom>
      </xdr:spPr>
    </xdr:pic>
    <xdr:clientData/>
  </xdr:twoCellAnchor>
  <xdr:twoCellAnchor>
    <xdr:from>
      <xdr:col>13</xdr:col>
      <xdr:colOff>0</xdr:colOff>
      <xdr:row>340</xdr:row>
      <xdr:rowOff>0</xdr:rowOff>
    </xdr:from>
    <xdr:to>
      <xdr:col>14</xdr:col>
      <xdr:colOff>0</xdr:colOff>
      <xdr:row>341</xdr:row>
      <xdr:rowOff>0</xdr:rowOff>
    </xdr:to>
    <xdr:sp macro="" textlink="">
      <xdr:nvSpPr>
        <xdr:cNvPr id="182" name="Freeform 181">
          <a:extLst>
            <a:ext uri="{FF2B5EF4-FFF2-40B4-BE49-F238E27FC236}">
              <a16:creationId xmlns:a16="http://schemas.microsoft.com/office/drawing/2014/main" id="{00000000-0008-0000-0000-0000B6000000}"/>
            </a:ext>
          </a:extLst>
        </xdr:cNvPr>
        <xdr:cNvSpPr/>
      </xdr:nvSpPr>
      <xdr:spPr>
        <a:xfrm flipH="1">
          <a:off x="12230100" y="414242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340</xdr:row>
      <xdr:rowOff>50321</xdr:rowOff>
    </xdr:from>
    <xdr:to>
      <xdr:col>12</xdr:col>
      <xdr:colOff>316301</xdr:colOff>
      <xdr:row>340</xdr:row>
      <xdr:rowOff>294736</xdr:rowOff>
    </xdr:to>
    <xdr:sp macro="[0]!btnPlusInvLeaseAreas_Click" textlink="">
      <xdr:nvSpPr>
        <xdr:cNvPr id="183" name="Plus 182">
          <a:extLst>
            <a:ext uri="{FF2B5EF4-FFF2-40B4-BE49-F238E27FC236}">
              <a16:creationId xmlns:a16="http://schemas.microsoft.com/office/drawing/2014/main" id="{00000000-0008-0000-0000-0000B7000000}"/>
            </a:ext>
          </a:extLst>
        </xdr:cNvPr>
        <xdr:cNvSpPr/>
      </xdr:nvSpPr>
      <xdr:spPr>
        <a:xfrm>
          <a:off x="11968611" y="414745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340</xdr:row>
      <xdr:rowOff>43132</xdr:rowOff>
    </xdr:from>
    <xdr:to>
      <xdr:col>13</xdr:col>
      <xdr:colOff>287548</xdr:colOff>
      <xdr:row>340</xdr:row>
      <xdr:rowOff>301925</xdr:rowOff>
    </xdr:to>
    <xdr:sp macro="[0]!btnMinusInvLeaseAreas_Click" textlink="">
      <xdr:nvSpPr>
        <xdr:cNvPr id="184" name="Minus 183">
          <a:extLst>
            <a:ext uri="{FF2B5EF4-FFF2-40B4-BE49-F238E27FC236}">
              <a16:creationId xmlns:a16="http://schemas.microsoft.com/office/drawing/2014/main" id="{00000000-0008-0000-0000-0000B8000000}"/>
            </a:ext>
          </a:extLst>
        </xdr:cNvPr>
        <xdr:cNvSpPr/>
      </xdr:nvSpPr>
      <xdr:spPr>
        <a:xfrm>
          <a:off x="12258855" y="414673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340</xdr:row>
      <xdr:rowOff>0</xdr:rowOff>
    </xdr:from>
    <xdr:to>
      <xdr:col>3</xdr:col>
      <xdr:colOff>0</xdr:colOff>
      <xdr:row>341</xdr:row>
      <xdr:rowOff>0</xdr:rowOff>
    </xdr:to>
    <xdr:sp macro="" textlink="">
      <xdr:nvSpPr>
        <xdr:cNvPr id="185" name="Freeform 184">
          <a:extLst>
            <a:ext uri="{FF2B5EF4-FFF2-40B4-BE49-F238E27FC236}">
              <a16:creationId xmlns:a16="http://schemas.microsoft.com/office/drawing/2014/main" id="{00000000-0008-0000-0000-0000B9000000}"/>
            </a:ext>
          </a:extLst>
        </xdr:cNvPr>
        <xdr:cNvSpPr/>
      </xdr:nvSpPr>
      <xdr:spPr>
        <a:xfrm>
          <a:off x="601598" y="414242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344</xdr:row>
      <xdr:rowOff>91440</xdr:rowOff>
    </xdr:from>
    <xdr:to>
      <xdr:col>4</xdr:col>
      <xdr:colOff>759333</xdr:colOff>
      <xdr:row>344</xdr:row>
      <xdr:rowOff>256032</xdr:rowOff>
    </xdr:to>
    <xdr:pic macro="[0]!SetVF_Click">
      <xdr:nvPicPr>
        <xdr:cNvPr id="186" name="Picture 185">
          <a:extLst>
            <a:ext uri="{FF2B5EF4-FFF2-40B4-BE49-F238E27FC236}">
              <a16:creationId xmlns:a16="http://schemas.microsoft.com/office/drawing/2014/main" id="{00000000-0008-0000-0000-0000B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42601515"/>
          <a:ext cx="155448" cy="164592"/>
        </a:xfrm>
        <a:prstGeom prst="rect">
          <a:avLst/>
        </a:prstGeom>
      </xdr:spPr>
    </xdr:pic>
    <xdr:clientData/>
  </xdr:twoCellAnchor>
  <xdr:twoCellAnchor>
    <xdr:from>
      <xdr:col>4</xdr:col>
      <xdr:colOff>1508760</xdr:colOff>
      <xdr:row>347</xdr:row>
      <xdr:rowOff>86994</xdr:rowOff>
    </xdr:from>
    <xdr:to>
      <xdr:col>4</xdr:col>
      <xdr:colOff>1664208</xdr:colOff>
      <xdr:row>347</xdr:row>
      <xdr:rowOff>251586</xdr:rowOff>
    </xdr:to>
    <xdr:pic macro="[0]!btnInvLeaseNETInfo_Click">
      <xdr:nvPicPr>
        <xdr:cNvPr id="187" name="Picture 186">
          <a:extLst>
            <a:ext uri="{FF2B5EF4-FFF2-40B4-BE49-F238E27FC236}">
              <a16:creationId xmlns:a16="http://schemas.microsoft.com/office/drawing/2014/main" id="{00000000-0008-0000-0000-0000BB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01915594"/>
          <a:ext cx="155448" cy="164592"/>
        </a:xfrm>
        <a:prstGeom prst="rect">
          <a:avLst/>
        </a:prstGeom>
      </xdr:spPr>
    </xdr:pic>
    <xdr:clientData/>
  </xdr:twoCellAnchor>
  <xdr:twoCellAnchor>
    <xdr:from>
      <xdr:col>13</xdr:col>
      <xdr:colOff>0</xdr:colOff>
      <xdr:row>349</xdr:row>
      <xdr:rowOff>0</xdr:rowOff>
    </xdr:from>
    <xdr:to>
      <xdr:col>14</xdr:col>
      <xdr:colOff>0</xdr:colOff>
      <xdr:row>350</xdr:row>
      <xdr:rowOff>0</xdr:rowOff>
    </xdr:to>
    <xdr:sp macro="" textlink="">
      <xdr:nvSpPr>
        <xdr:cNvPr id="188" name="Freeform 187">
          <a:extLst>
            <a:ext uri="{FF2B5EF4-FFF2-40B4-BE49-F238E27FC236}">
              <a16:creationId xmlns:a16="http://schemas.microsoft.com/office/drawing/2014/main" id="{00000000-0008-0000-0000-0000BC000000}"/>
            </a:ext>
          </a:extLst>
        </xdr:cNvPr>
        <xdr:cNvSpPr/>
      </xdr:nvSpPr>
      <xdr:spPr>
        <a:xfrm flipH="1">
          <a:off x="12230100" y="438816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349</xdr:row>
      <xdr:rowOff>50321</xdr:rowOff>
    </xdr:from>
    <xdr:to>
      <xdr:col>12</xdr:col>
      <xdr:colOff>316301</xdr:colOff>
      <xdr:row>349</xdr:row>
      <xdr:rowOff>294736</xdr:rowOff>
    </xdr:to>
    <xdr:sp macro="[0]!btnPlusInvLeaseAreas_Click" textlink="">
      <xdr:nvSpPr>
        <xdr:cNvPr id="189" name="Plus 188">
          <a:extLst>
            <a:ext uri="{FF2B5EF4-FFF2-40B4-BE49-F238E27FC236}">
              <a16:creationId xmlns:a16="http://schemas.microsoft.com/office/drawing/2014/main" id="{00000000-0008-0000-0000-0000BD000000}"/>
            </a:ext>
          </a:extLst>
        </xdr:cNvPr>
        <xdr:cNvSpPr/>
      </xdr:nvSpPr>
      <xdr:spPr>
        <a:xfrm>
          <a:off x="11968611" y="439319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349</xdr:row>
      <xdr:rowOff>43132</xdr:rowOff>
    </xdr:from>
    <xdr:to>
      <xdr:col>13</xdr:col>
      <xdr:colOff>287548</xdr:colOff>
      <xdr:row>349</xdr:row>
      <xdr:rowOff>301925</xdr:rowOff>
    </xdr:to>
    <xdr:sp macro="[0]!btnMinusInvLeaseAreas_Click" textlink="">
      <xdr:nvSpPr>
        <xdr:cNvPr id="190" name="Minus 189">
          <a:extLst>
            <a:ext uri="{FF2B5EF4-FFF2-40B4-BE49-F238E27FC236}">
              <a16:creationId xmlns:a16="http://schemas.microsoft.com/office/drawing/2014/main" id="{00000000-0008-0000-0000-0000BE000000}"/>
            </a:ext>
          </a:extLst>
        </xdr:cNvPr>
        <xdr:cNvSpPr/>
      </xdr:nvSpPr>
      <xdr:spPr>
        <a:xfrm>
          <a:off x="12258855" y="439248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349</xdr:row>
      <xdr:rowOff>0</xdr:rowOff>
    </xdr:from>
    <xdr:to>
      <xdr:col>3</xdr:col>
      <xdr:colOff>0</xdr:colOff>
      <xdr:row>350</xdr:row>
      <xdr:rowOff>0</xdr:rowOff>
    </xdr:to>
    <xdr:sp macro="" textlink="">
      <xdr:nvSpPr>
        <xdr:cNvPr id="191" name="Freeform 190">
          <a:extLst>
            <a:ext uri="{FF2B5EF4-FFF2-40B4-BE49-F238E27FC236}">
              <a16:creationId xmlns:a16="http://schemas.microsoft.com/office/drawing/2014/main" id="{00000000-0008-0000-0000-0000BF000000}"/>
            </a:ext>
          </a:extLst>
        </xdr:cNvPr>
        <xdr:cNvSpPr/>
      </xdr:nvSpPr>
      <xdr:spPr>
        <a:xfrm>
          <a:off x="601598" y="438816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353</xdr:row>
      <xdr:rowOff>91440</xdr:rowOff>
    </xdr:from>
    <xdr:to>
      <xdr:col>4</xdr:col>
      <xdr:colOff>759333</xdr:colOff>
      <xdr:row>353</xdr:row>
      <xdr:rowOff>256032</xdr:rowOff>
    </xdr:to>
    <xdr:pic macro="[0]!SetVF_Click">
      <xdr:nvPicPr>
        <xdr:cNvPr id="192" name="Picture 191">
          <a:extLst>
            <a:ext uri="{FF2B5EF4-FFF2-40B4-BE49-F238E27FC236}">
              <a16:creationId xmlns:a16="http://schemas.microsoft.com/office/drawing/2014/main" id="{00000000-0008-0000-0000-0000C0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45058965"/>
          <a:ext cx="155448" cy="164592"/>
        </a:xfrm>
        <a:prstGeom prst="rect">
          <a:avLst/>
        </a:prstGeom>
      </xdr:spPr>
    </xdr:pic>
    <xdr:clientData/>
  </xdr:twoCellAnchor>
  <xdr:twoCellAnchor>
    <xdr:from>
      <xdr:col>4</xdr:col>
      <xdr:colOff>1508760</xdr:colOff>
      <xdr:row>356</xdr:row>
      <xdr:rowOff>86994</xdr:rowOff>
    </xdr:from>
    <xdr:to>
      <xdr:col>4</xdr:col>
      <xdr:colOff>1664208</xdr:colOff>
      <xdr:row>356</xdr:row>
      <xdr:rowOff>251586</xdr:rowOff>
    </xdr:to>
    <xdr:pic macro="[0]!btnInvLeaseNETInfo_Click">
      <xdr:nvPicPr>
        <xdr:cNvPr id="193" name="Picture 192">
          <a:extLst>
            <a:ext uri="{FF2B5EF4-FFF2-40B4-BE49-F238E27FC236}">
              <a16:creationId xmlns:a16="http://schemas.microsoft.com/office/drawing/2014/main" id="{00000000-0008-0000-0000-0000C1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04353994"/>
          <a:ext cx="155448" cy="164592"/>
        </a:xfrm>
        <a:prstGeom prst="rect">
          <a:avLst/>
        </a:prstGeom>
      </xdr:spPr>
    </xdr:pic>
    <xdr:clientData/>
  </xdr:twoCellAnchor>
  <xdr:twoCellAnchor>
    <xdr:from>
      <xdr:col>13</xdr:col>
      <xdr:colOff>0</xdr:colOff>
      <xdr:row>358</xdr:row>
      <xdr:rowOff>0</xdr:rowOff>
    </xdr:from>
    <xdr:to>
      <xdr:col>14</xdr:col>
      <xdr:colOff>0</xdr:colOff>
      <xdr:row>359</xdr:row>
      <xdr:rowOff>0</xdr:rowOff>
    </xdr:to>
    <xdr:sp macro="" textlink="">
      <xdr:nvSpPr>
        <xdr:cNvPr id="194" name="Freeform 193">
          <a:extLst>
            <a:ext uri="{FF2B5EF4-FFF2-40B4-BE49-F238E27FC236}">
              <a16:creationId xmlns:a16="http://schemas.microsoft.com/office/drawing/2014/main" id="{00000000-0008-0000-0000-0000C2000000}"/>
            </a:ext>
          </a:extLst>
        </xdr:cNvPr>
        <xdr:cNvSpPr/>
      </xdr:nvSpPr>
      <xdr:spPr>
        <a:xfrm flipH="1">
          <a:off x="12230100" y="463391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358</xdr:row>
      <xdr:rowOff>50321</xdr:rowOff>
    </xdr:from>
    <xdr:to>
      <xdr:col>12</xdr:col>
      <xdr:colOff>316301</xdr:colOff>
      <xdr:row>358</xdr:row>
      <xdr:rowOff>294736</xdr:rowOff>
    </xdr:to>
    <xdr:sp macro="[0]!btnPlusInvLeaseAreas_Click" textlink="">
      <xdr:nvSpPr>
        <xdr:cNvPr id="195" name="Plus 194">
          <a:extLst>
            <a:ext uri="{FF2B5EF4-FFF2-40B4-BE49-F238E27FC236}">
              <a16:creationId xmlns:a16="http://schemas.microsoft.com/office/drawing/2014/main" id="{00000000-0008-0000-0000-0000C3000000}"/>
            </a:ext>
          </a:extLst>
        </xdr:cNvPr>
        <xdr:cNvSpPr/>
      </xdr:nvSpPr>
      <xdr:spPr>
        <a:xfrm>
          <a:off x="11968611" y="463894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358</xdr:row>
      <xdr:rowOff>43132</xdr:rowOff>
    </xdr:from>
    <xdr:to>
      <xdr:col>13</xdr:col>
      <xdr:colOff>287548</xdr:colOff>
      <xdr:row>358</xdr:row>
      <xdr:rowOff>301925</xdr:rowOff>
    </xdr:to>
    <xdr:sp macro="[0]!btnMinusInvLeaseAreas_Click" textlink="">
      <xdr:nvSpPr>
        <xdr:cNvPr id="196" name="Minus 195">
          <a:extLst>
            <a:ext uri="{FF2B5EF4-FFF2-40B4-BE49-F238E27FC236}">
              <a16:creationId xmlns:a16="http://schemas.microsoft.com/office/drawing/2014/main" id="{00000000-0008-0000-0000-0000C4000000}"/>
            </a:ext>
          </a:extLst>
        </xdr:cNvPr>
        <xdr:cNvSpPr/>
      </xdr:nvSpPr>
      <xdr:spPr>
        <a:xfrm>
          <a:off x="12258855" y="463822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358</xdr:row>
      <xdr:rowOff>0</xdr:rowOff>
    </xdr:from>
    <xdr:to>
      <xdr:col>3</xdr:col>
      <xdr:colOff>0</xdr:colOff>
      <xdr:row>359</xdr:row>
      <xdr:rowOff>0</xdr:rowOff>
    </xdr:to>
    <xdr:sp macro="" textlink="">
      <xdr:nvSpPr>
        <xdr:cNvPr id="197" name="Freeform 196">
          <a:extLst>
            <a:ext uri="{FF2B5EF4-FFF2-40B4-BE49-F238E27FC236}">
              <a16:creationId xmlns:a16="http://schemas.microsoft.com/office/drawing/2014/main" id="{00000000-0008-0000-0000-0000C5000000}"/>
            </a:ext>
          </a:extLst>
        </xdr:cNvPr>
        <xdr:cNvSpPr/>
      </xdr:nvSpPr>
      <xdr:spPr>
        <a:xfrm>
          <a:off x="601598" y="463391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362</xdr:row>
      <xdr:rowOff>91440</xdr:rowOff>
    </xdr:from>
    <xdr:to>
      <xdr:col>4</xdr:col>
      <xdr:colOff>759333</xdr:colOff>
      <xdr:row>362</xdr:row>
      <xdr:rowOff>256032</xdr:rowOff>
    </xdr:to>
    <xdr:pic macro="[0]!SetVF_Click">
      <xdr:nvPicPr>
        <xdr:cNvPr id="198" name="Picture 197">
          <a:extLst>
            <a:ext uri="{FF2B5EF4-FFF2-40B4-BE49-F238E27FC236}">
              <a16:creationId xmlns:a16="http://schemas.microsoft.com/office/drawing/2014/main" id="{00000000-0008-0000-0000-0000C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47516415"/>
          <a:ext cx="155448" cy="164592"/>
        </a:xfrm>
        <a:prstGeom prst="rect">
          <a:avLst/>
        </a:prstGeom>
      </xdr:spPr>
    </xdr:pic>
    <xdr:clientData/>
  </xdr:twoCellAnchor>
  <xdr:twoCellAnchor>
    <xdr:from>
      <xdr:col>4</xdr:col>
      <xdr:colOff>1508760</xdr:colOff>
      <xdr:row>365</xdr:row>
      <xdr:rowOff>78527</xdr:rowOff>
    </xdr:from>
    <xdr:to>
      <xdr:col>4</xdr:col>
      <xdr:colOff>1664208</xdr:colOff>
      <xdr:row>365</xdr:row>
      <xdr:rowOff>243119</xdr:rowOff>
    </xdr:to>
    <xdr:pic macro="[0]!btnInvLeaseNETInfo_Click">
      <xdr:nvPicPr>
        <xdr:cNvPr id="199" name="Picture 198">
          <a:extLst>
            <a:ext uri="{FF2B5EF4-FFF2-40B4-BE49-F238E27FC236}">
              <a16:creationId xmlns:a16="http://schemas.microsoft.com/office/drawing/2014/main" id="{00000000-0008-0000-0000-0000C7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06783927"/>
          <a:ext cx="155448" cy="164592"/>
        </a:xfrm>
        <a:prstGeom prst="rect">
          <a:avLst/>
        </a:prstGeom>
      </xdr:spPr>
    </xdr:pic>
    <xdr:clientData/>
  </xdr:twoCellAnchor>
  <xdr:twoCellAnchor>
    <xdr:from>
      <xdr:col>13</xdr:col>
      <xdr:colOff>0</xdr:colOff>
      <xdr:row>367</xdr:row>
      <xdr:rowOff>0</xdr:rowOff>
    </xdr:from>
    <xdr:to>
      <xdr:col>14</xdr:col>
      <xdr:colOff>0</xdr:colOff>
      <xdr:row>368</xdr:row>
      <xdr:rowOff>0</xdr:rowOff>
    </xdr:to>
    <xdr:sp macro="" textlink="">
      <xdr:nvSpPr>
        <xdr:cNvPr id="200" name="Freeform 199">
          <a:extLst>
            <a:ext uri="{FF2B5EF4-FFF2-40B4-BE49-F238E27FC236}">
              <a16:creationId xmlns:a16="http://schemas.microsoft.com/office/drawing/2014/main" id="{00000000-0008-0000-0000-0000C8000000}"/>
            </a:ext>
          </a:extLst>
        </xdr:cNvPr>
        <xdr:cNvSpPr/>
      </xdr:nvSpPr>
      <xdr:spPr>
        <a:xfrm flipH="1">
          <a:off x="12230100" y="487965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367</xdr:row>
      <xdr:rowOff>50321</xdr:rowOff>
    </xdr:from>
    <xdr:to>
      <xdr:col>12</xdr:col>
      <xdr:colOff>316301</xdr:colOff>
      <xdr:row>367</xdr:row>
      <xdr:rowOff>294736</xdr:rowOff>
    </xdr:to>
    <xdr:sp macro="[0]!btnPlusInvLeaseAreas_Click" textlink="">
      <xdr:nvSpPr>
        <xdr:cNvPr id="201" name="Plus 200">
          <a:extLst>
            <a:ext uri="{FF2B5EF4-FFF2-40B4-BE49-F238E27FC236}">
              <a16:creationId xmlns:a16="http://schemas.microsoft.com/office/drawing/2014/main" id="{00000000-0008-0000-0000-0000C9000000}"/>
            </a:ext>
          </a:extLst>
        </xdr:cNvPr>
        <xdr:cNvSpPr/>
      </xdr:nvSpPr>
      <xdr:spPr>
        <a:xfrm>
          <a:off x="11968611" y="488468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367</xdr:row>
      <xdr:rowOff>43132</xdr:rowOff>
    </xdr:from>
    <xdr:to>
      <xdr:col>13</xdr:col>
      <xdr:colOff>287548</xdr:colOff>
      <xdr:row>367</xdr:row>
      <xdr:rowOff>301925</xdr:rowOff>
    </xdr:to>
    <xdr:sp macro="[0]!btnMinusInvLeaseAreas_Click" textlink="">
      <xdr:nvSpPr>
        <xdr:cNvPr id="202" name="Minus 201">
          <a:extLst>
            <a:ext uri="{FF2B5EF4-FFF2-40B4-BE49-F238E27FC236}">
              <a16:creationId xmlns:a16="http://schemas.microsoft.com/office/drawing/2014/main" id="{00000000-0008-0000-0000-0000CA000000}"/>
            </a:ext>
          </a:extLst>
        </xdr:cNvPr>
        <xdr:cNvSpPr/>
      </xdr:nvSpPr>
      <xdr:spPr>
        <a:xfrm>
          <a:off x="12258855" y="488397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367</xdr:row>
      <xdr:rowOff>0</xdr:rowOff>
    </xdr:from>
    <xdr:to>
      <xdr:col>3</xdr:col>
      <xdr:colOff>0</xdr:colOff>
      <xdr:row>368</xdr:row>
      <xdr:rowOff>0</xdr:rowOff>
    </xdr:to>
    <xdr:sp macro="" textlink="">
      <xdr:nvSpPr>
        <xdr:cNvPr id="203" name="Freeform 202">
          <a:extLst>
            <a:ext uri="{FF2B5EF4-FFF2-40B4-BE49-F238E27FC236}">
              <a16:creationId xmlns:a16="http://schemas.microsoft.com/office/drawing/2014/main" id="{00000000-0008-0000-0000-0000CB000000}"/>
            </a:ext>
          </a:extLst>
        </xdr:cNvPr>
        <xdr:cNvSpPr/>
      </xdr:nvSpPr>
      <xdr:spPr>
        <a:xfrm>
          <a:off x="601598" y="487965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371</xdr:row>
      <xdr:rowOff>91440</xdr:rowOff>
    </xdr:from>
    <xdr:to>
      <xdr:col>4</xdr:col>
      <xdr:colOff>759333</xdr:colOff>
      <xdr:row>371</xdr:row>
      <xdr:rowOff>256032</xdr:rowOff>
    </xdr:to>
    <xdr:pic macro="[0]!SetVF_Click">
      <xdr:nvPicPr>
        <xdr:cNvPr id="204" name="Picture 203">
          <a:extLst>
            <a:ext uri="{FF2B5EF4-FFF2-40B4-BE49-F238E27FC236}">
              <a16:creationId xmlns:a16="http://schemas.microsoft.com/office/drawing/2014/main" id="{00000000-0008-0000-0000-0000CC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49973865"/>
          <a:ext cx="155448" cy="164592"/>
        </a:xfrm>
        <a:prstGeom prst="rect">
          <a:avLst/>
        </a:prstGeom>
      </xdr:spPr>
    </xdr:pic>
    <xdr:clientData/>
  </xdr:twoCellAnchor>
  <xdr:twoCellAnchor>
    <xdr:from>
      <xdr:col>4</xdr:col>
      <xdr:colOff>1508760</xdr:colOff>
      <xdr:row>374</xdr:row>
      <xdr:rowOff>86994</xdr:rowOff>
    </xdr:from>
    <xdr:to>
      <xdr:col>4</xdr:col>
      <xdr:colOff>1664208</xdr:colOff>
      <xdr:row>374</xdr:row>
      <xdr:rowOff>251586</xdr:rowOff>
    </xdr:to>
    <xdr:pic macro="[0]!btnInvLeaseNETInfo_Click">
      <xdr:nvPicPr>
        <xdr:cNvPr id="205" name="Picture 204">
          <a:extLst>
            <a:ext uri="{FF2B5EF4-FFF2-40B4-BE49-F238E27FC236}">
              <a16:creationId xmlns:a16="http://schemas.microsoft.com/office/drawing/2014/main" id="{00000000-0008-0000-0000-0000CD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09230794"/>
          <a:ext cx="155448" cy="164592"/>
        </a:xfrm>
        <a:prstGeom prst="rect">
          <a:avLst/>
        </a:prstGeom>
      </xdr:spPr>
    </xdr:pic>
    <xdr:clientData/>
  </xdr:twoCellAnchor>
  <xdr:twoCellAnchor>
    <xdr:from>
      <xdr:col>13</xdr:col>
      <xdr:colOff>0</xdr:colOff>
      <xdr:row>376</xdr:row>
      <xdr:rowOff>0</xdr:rowOff>
    </xdr:from>
    <xdr:to>
      <xdr:col>14</xdr:col>
      <xdr:colOff>0</xdr:colOff>
      <xdr:row>377</xdr:row>
      <xdr:rowOff>0</xdr:rowOff>
    </xdr:to>
    <xdr:sp macro="" textlink="">
      <xdr:nvSpPr>
        <xdr:cNvPr id="206" name="Freeform 205">
          <a:extLst>
            <a:ext uri="{FF2B5EF4-FFF2-40B4-BE49-F238E27FC236}">
              <a16:creationId xmlns:a16="http://schemas.microsoft.com/office/drawing/2014/main" id="{00000000-0008-0000-0000-0000CE000000}"/>
            </a:ext>
          </a:extLst>
        </xdr:cNvPr>
        <xdr:cNvSpPr/>
      </xdr:nvSpPr>
      <xdr:spPr>
        <a:xfrm flipH="1">
          <a:off x="12230100" y="512540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376</xdr:row>
      <xdr:rowOff>50321</xdr:rowOff>
    </xdr:from>
    <xdr:to>
      <xdr:col>12</xdr:col>
      <xdr:colOff>316301</xdr:colOff>
      <xdr:row>376</xdr:row>
      <xdr:rowOff>294736</xdr:rowOff>
    </xdr:to>
    <xdr:sp macro="[0]!btnPlusInvLeaseAreas_Click" textlink="">
      <xdr:nvSpPr>
        <xdr:cNvPr id="207" name="Plus 206">
          <a:extLst>
            <a:ext uri="{FF2B5EF4-FFF2-40B4-BE49-F238E27FC236}">
              <a16:creationId xmlns:a16="http://schemas.microsoft.com/office/drawing/2014/main" id="{00000000-0008-0000-0000-0000CF000000}"/>
            </a:ext>
          </a:extLst>
        </xdr:cNvPr>
        <xdr:cNvSpPr/>
      </xdr:nvSpPr>
      <xdr:spPr>
        <a:xfrm>
          <a:off x="11968611" y="513043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376</xdr:row>
      <xdr:rowOff>43132</xdr:rowOff>
    </xdr:from>
    <xdr:to>
      <xdr:col>13</xdr:col>
      <xdr:colOff>287548</xdr:colOff>
      <xdr:row>376</xdr:row>
      <xdr:rowOff>301925</xdr:rowOff>
    </xdr:to>
    <xdr:sp macro="[0]!btnMinusInvLeaseAreas_Click" textlink="">
      <xdr:nvSpPr>
        <xdr:cNvPr id="208" name="Minus 207">
          <a:extLst>
            <a:ext uri="{FF2B5EF4-FFF2-40B4-BE49-F238E27FC236}">
              <a16:creationId xmlns:a16="http://schemas.microsoft.com/office/drawing/2014/main" id="{00000000-0008-0000-0000-0000D0000000}"/>
            </a:ext>
          </a:extLst>
        </xdr:cNvPr>
        <xdr:cNvSpPr/>
      </xdr:nvSpPr>
      <xdr:spPr>
        <a:xfrm>
          <a:off x="12258855" y="512971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376</xdr:row>
      <xdr:rowOff>0</xdr:rowOff>
    </xdr:from>
    <xdr:to>
      <xdr:col>3</xdr:col>
      <xdr:colOff>0</xdr:colOff>
      <xdr:row>377</xdr:row>
      <xdr:rowOff>0</xdr:rowOff>
    </xdr:to>
    <xdr:sp macro="" textlink="">
      <xdr:nvSpPr>
        <xdr:cNvPr id="209" name="Freeform 208">
          <a:extLst>
            <a:ext uri="{FF2B5EF4-FFF2-40B4-BE49-F238E27FC236}">
              <a16:creationId xmlns:a16="http://schemas.microsoft.com/office/drawing/2014/main" id="{00000000-0008-0000-0000-0000D1000000}"/>
            </a:ext>
          </a:extLst>
        </xdr:cNvPr>
        <xdr:cNvSpPr/>
      </xdr:nvSpPr>
      <xdr:spPr>
        <a:xfrm>
          <a:off x="601598" y="512540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380</xdr:row>
      <xdr:rowOff>91440</xdr:rowOff>
    </xdr:from>
    <xdr:to>
      <xdr:col>4</xdr:col>
      <xdr:colOff>759333</xdr:colOff>
      <xdr:row>380</xdr:row>
      <xdr:rowOff>256032</xdr:rowOff>
    </xdr:to>
    <xdr:pic macro="[0]!SetVF_Click">
      <xdr:nvPicPr>
        <xdr:cNvPr id="210" name="Picture 209">
          <a:extLst>
            <a:ext uri="{FF2B5EF4-FFF2-40B4-BE49-F238E27FC236}">
              <a16:creationId xmlns:a16="http://schemas.microsoft.com/office/drawing/2014/main" id="{00000000-0008-0000-0000-0000D2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52431315"/>
          <a:ext cx="155448" cy="164592"/>
        </a:xfrm>
        <a:prstGeom prst="rect">
          <a:avLst/>
        </a:prstGeom>
      </xdr:spPr>
    </xdr:pic>
    <xdr:clientData/>
  </xdr:twoCellAnchor>
  <xdr:twoCellAnchor>
    <xdr:from>
      <xdr:col>4</xdr:col>
      <xdr:colOff>1508760</xdr:colOff>
      <xdr:row>383</xdr:row>
      <xdr:rowOff>86994</xdr:rowOff>
    </xdr:from>
    <xdr:to>
      <xdr:col>4</xdr:col>
      <xdr:colOff>1664208</xdr:colOff>
      <xdr:row>383</xdr:row>
      <xdr:rowOff>251586</xdr:rowOff>
    </xdr:to>
    <xdr:pic macro="[0]!btnInvLeaseNETInfo_Click">
      <xdr:nvPicPr>
        <xdr:cNvPr id="211" name="Picture 210">
          <a:extLst>
            <a:ext uri="{FF2B5EF4-FFF2-40B4-BE49-F238E27FC236}">
              <a16:creationId xmlns:a16="http://schemas.microsoft.com/office/drawing/2014/main" id="{00000000-0008-0000-0000-0000D3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11669194"/>
          <a:ext cx="155448" cy="164592"/>
        </a:xfrm>
        <a:prstGeom prst="rect">
          <a:avLst/>
        </a:prstGeom>
      </xdr:spPr>
    </xdr:pic>
    <xdr:clientData/>
  </xdr:twoCellAnchor>
  <xdr:twoCellAnchor>
    <xdr:from>
      <xdr:col>13</xdr:col>
      <xdr:colOff>0</xdr:colOff>
      <xdr:row>385</xdr:row>
      <xdr:rowOff>0</xdr:rowOff>
    </xdr:from>
    <xdr:to>
      <xdr:col>14</xdr:col>
      <xdr:colOff>0</xdr:colOff>
      <xdr:row>386</xdr:row>
      <xdr:rowOff>0</xdr:rowOff>
    </xdr:to>
    <xdr:sp macro="" textlink="">
      <xdr:nvSpPr>
        <xdr:cNvPr id="212" name="Freeform 211">
          <a:extLst>
            <a:ext uri="{FF2B5EF4-FFF2-40B4-BE49-F238E27FC236}">
              <a16:creationId xmlns:a16="http://schemas.microsoft.com/office/drawing/2014/main" id="{00000000-0008-0000-0000-0000D4000000}"/>
            </a:ext>
          </a:extLst>
        </xdr:cNvPr>
        <xdr:cNvSpPr/>
      </xdr:nvSpPr>
      <xdr:spPr>
        <a:xfrm flipH="1">
          <a:off x="12230100" y="5371147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385</xdr:row>
      <xdr:rowOff>50321</xdr:rowOff>
    </xdr:from>
    <xdr:to>
      <xdr:col>12</xdr:col>
      <xdr:colOff>316301</xdr:colOff>
      <xdr:row>385</xdr:row>
      <xdr:rowOff>294736</xdr:rowOff>
    </xdr:to>
    <xdr:sp macro="[0]!btnPlusInvLeaseAreas_Click" textlink="">
      <xdr:nvSpPr>
        <xdr:cNvPr id="213" name="Plus 212">
          <a:extLst>
            <a:ext uri="{FF2B5EF4-FFF2-40B4-BE49-F238E27FC236}">
              <a16:creationId xmlns:a16="http://schemas.microsoft.com/office/drawing/2014/main" id="{00000000-0008-0000-0000-0000D5000000}"/>
            </a:ext>
          </a:extLst>
        </xdr:cNvPr>
        <xdr:cNvSpPr/>
      </xdr:nvSpPr>
      <xdr:spPr>
        <a:xfrm>
          <a:off x="11968611" y="5376179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385</xdr:row>
      <xdr:rowOff>43132</xdr:rowOff>
    </xdr:from>
    <xdr:to>
      <xdr:col>13</xdr:col>
      <xdr:colOff>287548</xdr:colOff>
      <xdr:row>385</xdr:row>
      <xdr:rowOff>301925</xdr:rowOff>
    </xdr:to>
    <xdr:sp macro="[0]!btnMinusInvLeaseAreas_Click" textlink="">
      <xdr:nvSpPr>
        <xdr:cNvPr id="214" name="Minus 213">
          <a:extLst>
            <a:ext uri="{FF2B5EF4-FFF2-40B4-BE49-F238E27FC236}">
              <a16:creationId xmlns:a16="http://schemas.microsoft.com/office/drawing/2014/main" id="{00000000-0008-0000-0000-0000D6000000}"/>
            </a:ext>
          </a:extLst>
        </xdr:cNvPr>
        <xdr:cNvSpPr/>
      </xdr:nvSpPr>
      <xdr:spPr>
        <a:xfrm>
          <a:off x="12258855" y="5375460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385</xdr:row>
      <xdr:rowOff>0</xdr:rowOff>
    </xdr:from>
    <xdr:to>
      <xdr:col>3</xdr:col>
      <xdr:colOff>0</xdr:colOff>
      <xdr:row>386</xdr:row>
      <xdr:rowOff>0</xdr:rowOff>
    </xdr:to>
    <xdr:sp macro="" textlink="">
      <xdr:nvSpPr>
        <xdr:cNvPr id="215" name="Freeform 214">
          <a:extLst>
            <a:ext uri="{FF2B5EF4-FFF2-40B4-BE49-F238E27FC236}">
              <a16:creationId xmlns:a16="http://schemas.microsoft.com/office/drawing/2014/main" id="{00000000-0008-0000-0000-0000D7000000}"/>
            </a:ext>
          </a:extLst>
        </xdr:cNvPr>
        <xdr:cNvSpPr/>
      </xdr:nvSpPr>
      <xdr:spPr>
        <a:xfrm>
          <a:off x="601598" y="5371147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389</xdr:row>
      <xdr:rowOff>91440</xdr:rowOff>
    </xdr:from>
    <xdr:to>
      <xdr:col>4</xdr:col>
      <xdr:colOff>759333</xdr:colOff>
      <xdr:row>389</xdr:row>
      <xdr:rowOff>256032</xdr:rowOff>
    </xdr:to>
    <xdr:pic macro="[0]!SetVF_Click">
      <xdr:nvPicPr>
        <xdr:cNvPr id="216" name="Picture 215">
          <a:extLst>
            <a:ext uri="{FF2B5EF4-FFF2-40B4-BE49-F238E27FC236}">
              <a16:creationId xmlns:a16="http://schemas.microsoft.com/office/drawing/2014/main" id="{00000000-0008-0000-0000-0000D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54888765"/>
          <a:ext cx="155448" cy="164592"/>
        </a:xfrm>
        <a:prstGeom prst="rect">
          <a:avLst/>
        </a:prstGeom>
      </xdr:spPr>
    </xdr:pic>
    <xdr:clientData/>
  </xdr:twoCellAnchor>
  <xdr:twoCellAnchor>
    <xdr:from>
      <xdr:col>4</xdr:col>
      <xdr:colOff>1508760</xdr:colOff>
      <xdr:row>392</xdr:row>
      <xdr:rowOff>78527</xdr:rowOff>
    </xdr:from>
    <xdr:to>
      <xdr:col>4</xdr:col>
      <xdr:colOff>1664208</xdr:colOff>
      <xdr:row>392</xdr:row>
      <xdr:rowOff>243119</xdr:rowOff>
    </xdr:to>
    <xdr:pic macro="[0]!btnInvLeaseNETInfo_Click">
      <xdr:nvPicPr>
        <xdr:cNvPr id="217" name="Picture 216">
          <a:extLst>
            <a:ext uri="{FF2B5EF4-FFF2-40B4-BE49-F238E27FC236}">
              <a16:creationId xmlns:a16="http://schemas.microsoft.com/office/drawing/2014/main" id="{00000000-0008-0000-0000-0000D9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14099127"/>
          <a:ext cx="155448" cy="164592"/>
        </a:xfrm>
        <a:prstGeom prst="rect">
          <a:avLst/>
        </a:prstGeom>
      </xdr:spPr>
    </xdr:pic>
    <xdr:clientData/>
  </xdr:twoCellAnchor>
  <xdr:twoCellAnchor>
    <xdr:from>
      <xdr:col>13</xdr:col>
      <xdr:colOff>0</xdr:colOff>
      <xdr:row>394</xdr:row>
      <xdr:rowOff>0</xdr:rowOff>
    </xdr:from>
    <xdr:to>
      <xdr:col>14</xdr:col>
      <xdr:colOff>0</xdr:colOff>
      <xdr:row>395</xdr:row>
      <xdr:rowOff>0</xdr:rowOff>
    </xdr:to>
    <xdr:sp macro="" textlink="">
      <xdr:nvSpPr>
        <xdr:cNvPr id="218" name="Freeform 217">
          <a:extLst>
            <a:ext uri="{FF2B5EF4-FFF2-40B4-BE49-F238E27FC236}">
              <a16:creationId xmlns:a16="http://schemas.microsoft.com/office/drawing/2014/main" id="{00000000-0008-0000-0000-0000DA000000}"/>
            </a:ext>
          </a:extLst>
        </xdr:cNvPr>
        <xdr:cNvSpPr/>
      </xdr:nvSpPr>
      <xdr:spPr>
        <a:xfrm flipH="1">
          <a:off x="12230100" y="561689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394</xdr:row>
      <xdr:rowOff>50321</xdr:rowOff>
    </xdr:from>
    <xdr:to>
      <xdr:col>12</xdr:col>
      <xdr:colOff>316301</xdr:colOff>
      <xdr:row>394</xdr:row>
      <xdr:rowOff>294736</xdr:rowOff>
    </xdr:to>
    <xdr:sp macro="[0]!btnPlusInvLeaseAreas_Click" textlink="">
      <xdr:nvSpPr>
        <xdr:cNvPr id="219" name="Plus 218">
          <a:extLst>
            <a:ext uri="{FF2B5EF4-FFF2-40B4-BE49-F238E27FC236}">
              <a16:creationId xmlns:a16="http://schemas.microsoft.com/office/drawing/2014/main" id="{00000000-0008-0000-0000-0000DB000000}"/>
            </a:ext>
          </a:extLst>
        </xdr:cNvPr>
        <xdr:cNvSpPr/>
      </xdr:nvSpPr>
      <xdr:spPr>
        <a:xfrm>
          <a:off x="11968611" y="562192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394</xdr:row>
      <xdr:rowOff>43132</xdr:rowOff>
    </xdr:from>
    <xdr:to>
      <xdr:col>13</xdr:col>
      <xdr:colOff>287548</xdr:colOff>
      <xdr:row>394</xdr:row>
      <xdr:rowOff>301925</xdr:rowOff>
    </xdr:to>
    <xdr:sp macro="[0]!btnMinusInvLeaseAreas_Click" textlink="">
      <xdr:nvSpPr>
        <xdr:cNvPr id="220" name="Minus 219">
          <a:extLst>
            <a:ext uri="{FF2B5EF4-FFF2-40B4-BE49-F238E27FC236}">
              <a16:creationId xmlns:a16="http://schemas.microsoft.com/office/drawing/2014/main" id="{00000000-0008-0000-0000-0000DC000000}"/>
            </a:ext>
          </a:extLst>
        </xdr:cNvPr>
        <xdr:cNvSpPr/>
      </xdr:nvSpPr>
      <xdr:spPr>
        <a:xfrm>
          <a:off x="12258855" y="562120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394</xdr:row>
      <xdr:rowOff>0</xdr:rowOff>
    </xdr:from>
    <xdr:to>
      <xdr:col>3</xdr:col>
      <xdr:colOff>0</xdr:colOff>
      <xdr:row>395</xdr:row>
      <xdr:rowOff>0</xdr:rowOff>
    </xdr:to>
    <xdr:sp macro="" textlink="">
      <xdr:nvSpPr>
        <xdr:cNvPr id="221" name="Freeform 220">
          <a:extLst>
            <a:ext uri="{FF2B5EF4-FFF2-40B4-BE49-F238E27FC236}">
              <a16:creationId xmlns:a16="http://schemas.microsoft.com/office/drawing/2014/main" id="{00000000-0008-0000-0000-0000DD000000}"/>
            </a:ext>
          </a:extLst>
        </xdr:cNvPr>
        <xdr:cNvSpPr/>
      </xdr:nvSpPr>
      <xdr:spPr>
        <a:xfrm>
          <a:off x="601598" y="561689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398</xdr:row>
      <xdr:rowOff>91440</xdr:rowOff>
    </xdr:from>
    <xdr:to>
      <xdr:col>4</xdr:col>
      <xdr:colOff>759333</xdr:colOff>
      <xdr:row>398</xdr:row>
      <xdr:rowOff>256032</xdr:rowOff>
    </xdr:to>
    <xdr:pic macro="[0]!SetVF_Click">
      <xdr:nvPicPr>
        <xdr:cNvPr id="222" name="Picture 221">
          <a:extLst>
            <a:ext uri="{FF2B5EF4-FFF2-40B4-BE49-F238E27FC236}">
              <a16:creationId xmlns:a16="http://schemas.microsoft.com/office/drawing/2014/main" id="{00000000-0008-0000-0000-0000DE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57346215"/>
          <a:ext cx="155448" cy="164592"/>
        </a:xfrm>
        <a:prstGeom prst="rect">
          <a:avLst/>
        </a:prstGeom>
      </xdr:spPr>
    </xdr:pic>
    <xdr:clientData/>
  </xdr:twoCellAnchor>
  <xdr:twoCellAnchor>
    <xdr:from>
      <xdr:col>4</xdr:col>
      <xdr:colOff>1508760</xdr:colOff>
      <xdr:row>401</xdr:row>
      <xdr:rowOff>86994</xdr:rowOff>
    </xdr:from>
    <xdr:to>
      <xdr:col>4</xdr:col>
      <xdr:colOff>1664208</xdr:colOff>
      <xdr:row>401</xdr:row>
      <xdr:rowOff>251586</xdr:rowOff>
    </xdr:to>
    <xdr:pic macro="[0]!btnInvLeaseNETInfo_Click">
      <xdr:nvPicPr>
        <xdr:cNvPr id="223" name="Picture 222">
          <a:extLst>
            <a:ext uri="{FF2B5EF4-FFF2-40B4-BE49-F238E27FC236}">
              <a16:creationId xmlns:a16="http://schemas.microsoft.com/office/drawing/2014/main" id="{00000000-0008-0000-0000-0000DF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16545994"/>
          <a:ext cx="155448" cy="164592"/>
        </a:xfrm>
        <a:prstGeom prst="rect">
          <a:avLst/>
        </a:prstGeom>
      </xdr:spPr>
    </xdr:pic>
    <xdr:clientData/>
  </xdr:twoCellAnchor>
  <xdr:twoCellAnchor>
    <xdr:from>
      <xdr:col>13</xdr:col>
      <xdr:colOff>0</xdr:colOff>
      <xdr:row>409</xdr:row>
      <xdr:rowOff>0</xdr:rowOff>
    </xdr:from>
    <xdr:to>
      <xdr:col>14</xdr:col>
      <xdr:colOff>0</xdr:colOff>
      <xdr:row>410</xdr:row>
      <xdr:rowOff>0</xdr:rowOff>
    </xdr:to>
    <xdr:sp macro="" textlink="">
      <xdr:nvSpPr>
        <xdr:cNvPr id="224" name="Freeform 223">
          <a:extLst>
            <a:ext uri="{FF2B5EF4-FFF2-40B4-BE49-F238E27FC236}">
              <a16:creationId xmlns:a16="http://schemas.microsoft.com/office/drawing/2014/main" id="{00000000-0008-0000-0000-0000E0000000}"/>
            </a:ext>
          </a:extLst>
        </xdr:cNvPr>
        <xdr:cNvSpPr/>
      </xdr:nvSpPr>
      <xdr:spPr>
        <a:xfrm flipH="1">
          <a:off x="12230100" y="248983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409</xdr:row>
      <xdr:rowOff>50321</xdr:rowOff>
    </xdr:from>
    <xdr:to>
      <xdr:col>12</xdr:col>
      <xdr:colOff>316301</xdr:colOff>
      <xdr:row>409</xdr:row>
      <xdr:rowOff>294736</xdr:rowOff>
    </xdr:to>
    <xdr:sp macro="[0]!btnPlusBusFrm8825Areas_Click" textlink="">
      <xdr:nvSpPr>
        <xdr:cNvPr id="225" name="Plus 224">
          <a:extLst>
            <a:ext uri="{FF2B5EF4-FFF2-40B4-BE49-F238E27FC236}">
              <a16:creationId xmlns:a16="http://schemas.microsoft.com/office/drawing/2014/main" id="{00000000-0008-0000-0000-0000E1000000}"/>
            </a:ext>
          </a:extLst>
        </xdr:cNvPr>
        <xdr:cNvSpPr/>
      </xdr:nvSpPr>
      <xdr:spPr>
        <a:xfrm>
          <a:off x="11968611" y="249486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409</xdr:row>
      <xdr:rowOff>43132</xdr:rowOff>
    </xdr:from>
    <xdr:to>
      <xdr:col>13</xdr:col>
      <xdr:colOff>287548</xdr:colOff>
      <xdr:row>409</xdr:row>
      <xdr:rowOff>301925</xdr:rowOff>
    </xdr:to>
    <xdr:sp macro="[0]!btnMinusBusFrm8825Areas_Click" textlink="">
      <xdr:nvSpPr>
        <xdr:cNvPr id="226" name="Minus 225">
          <a:extLst>
            <a:ext uri="{FF2B5EF4-FFF2-40B4-BE49-F238E27FC236}">
              <a16:creationId xmlns:a16="http://schemas.microsoft.com/office/drawing/2014/main" id="{00000000-0008-0000-0000-0000E2000000}"/>
            </a:ext>
          </a:extLst>
        </xdr:cNvPr>
        <xdr:cNvSpPr/>
      </xdr:nvSpPr>
      <xdr:spPr>
        <a:xfrm>
          <a:off x="12258855" y="249414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0</xdr:colOff>
      <xdr:row>407</xdr:row>
      <xdr:rowOff>0</xdr:rowOff>
    </xdr:from>
    <xdr:to>
      <xdr:col>3</xdr:col>
      <xdr:colOff>0</xdr:colOff>
      <xdr:row>408</xdr:row>
      <xdr:rowOff>0</xdr:rowOff>
    </xdr:to>
    <xdr:sp macro="[0]!btnShowHideBusFrm8825_Click" textlink="">
      <xdr:nvSpPr>
        <xdr:cNvPr id="227" name="Rounded Rectangle 226">
          <a:extLst>
            <a:ext uri="{FF2B5EF4-FFF2-40B4-BE49-F238E27FC236}">
              <a16:creationId xmlns:a16="http://schemas.microsoft.com/office/drawing/2014/main" id="{00000000-0008-0000-0000-0000E3000000}"/>
            </a:ext>
          </a:extLst>
        </xdr:cNvPr>
        <xdr:cNvSpPr/>
      </xdr:nvSpPr>
      <xdr:spPr>
        <a:xfrm>
          <a:off x="600075" y="24460200"/>
          <a:ext cx="371475" cy="36195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2</xdr:col>
      <xdr:colOff>1523</xdr:colOff>
      <xdr:row>409</xdr:row>
      <xdr:rowOff>0</xdr:rowOff>
    </xdr:from>
    <xdr:to>
      <xdr:col>3</xdr:col>
      <xdr:colOff>0</xdr:colOff>
      <xdr:row>410</xdr:row>
      <xdr:rowOff>0</xdr:rowOff>
    </xdr:to>
    <xdr:sp macro="" textlink="">
      <xdr:nvSpPr>
        <xdr:cNvPr id="228" name="Freeform 227">
          <a:extLst>
            <a:ext uri="{FF2B5EF4-FFF2-40B4-BE49-F238E27FC236}">
              <a16:creationId xmlns:a16="http://schemas.microsoft.com/office/drawing/2014/main" id="{00000000-0008-0000-0000-0000E4000000}"/>
            </a:ext>
          </a:extLst>
        </xdr:cNvPr>
        <xdr:cNvSpPr/>
      </xdr:nvSpPr>
      <xdr:spPr>
        <a:xfrm>
          <a:off x="601598" y="248983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127636</xdr:colOff>
      <xdr:row>423</xdr:row>
      <xdr:rowOff>111166</xdr:rowOff>
    </xdr:from>
    <xdr:to>
      <xdr:col>5</xdr:col>
      <xdr:colOff>278130</xdr:colOff>
      <xdr:row>423</xdr:row>
      <xdr:rowOff>274319</xdr:rowOff>
    </xdr:to>
    <xdr:pic macro="[0]!btnBusRentFrm8825Info_Click">
      <xdr:nvPicPr>
        <xdr:cNvPr id="229" name="Picture 228">
          <a:extLst>
            <a:ext uri="{FF2B5EF4-FFF2-40B4-BE49-F238E27FC236}">
              <a16:creationId xmlns:a16="http://schemas.microsoft.com/office/drawing/2014/main" id="{00000000-0008-0000-0000-0000E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32861" y="29686291"/>
          <a:ext cx="150494" cy="163153"/>
        </a:xfrm>
        <a:prstGeom prst="rect">
          <a:avLst/>
        </a:prstGeom>
      </xdr:spPr>
    </xdr:pic>
    <xdr:clientData/>
  </xdr:twoCellAnchor>
  <xdr:twoCellAnchor>
    <xdr:from>
      <xdr:col>2</xdr:col>
      <xdr:colOff>0</xdr:colOff>
      <xdr:row>614</xdr:row>
      <xdr:rowOff>0</xdr:rowOff>
    </xdr:from>
    <xdr:to>
      <xdr:col>3</xdr:col>
      <xdr:colOff>0</xdr:colOff>
      <xdr:row>615</xdr:row>
      <xdr:rowOff>0</xdr:rowOff>
    </xdr:to>
    <xdr:sp macro="[0]!btnShowHideBusLease_Click" textlink="">
      <xdr:nvSpPr>
        <xdr:cNvPr id="285" name="Rounded Rectangle 284">
          <a:extLst>
            <a:ext uri="{FF2B5EF4-FFF2-40B4-BE49-F238E27FC236}">
              <a16:creationId xmlns:a16="http://schemas.microsoft.com/office/drawing/2014/main" id="{00000000-0008-0000-0000-00001D010000}"/>
            </a:ext>
          </a:extLst>
        </xdr:cNvPr>
        <xdr:cNvSpPr/>
      </xdr:nvSpPr>
      <xdr:spPr>
        <a:xfrm>
          <a:off x="600075" y="91554300"/>
          <a:ext cx="371475" cy="361950"/>
        </a:xfrm>
        <a:prstGeom prst="roundRect">
          <a:avLst/>
        </a:prstGeom>
        <a:solidFill>
          <a:srgbClr val="FFFFFF"/>
        </a:solidFill>
        <a:ln w="12700" cap="flat" cmpd="sng" algn="ctr">
          <a:solidFill>
            <a:schemeClr val="tx1"/>
          </a:solidFill>
          <a:prstDash val="solid"/>
          <a:miter lim="800000"/>
        </a:ln>
        <a:effectLst/>
      </xdr:spPr>
      <xdr:txBody>
        <a:bodyPr vertOverflow="overflow" horzOverflow="overflow"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O</a:t>
          </a:r>
        </a:p>
      </xdr:txBody>
    </xdr:sp>
    <xdr:clientData/>
  </xdr:twoCellAnchor>
  <xdr:twoCellAnchor>
    <xdr:from>
      <xdr:col>13</xdr:col>
      <xdr:colOff>0</xdr:colOff>
      <xdr:row>616</xdr:row>
      <xdr:rowOff>0</xdr:rowOff>
    </xdr:from>
    <xdr:to>
      <xdr:col>14</xdr:col>
      <xdr:colOff>0</xdr:colOff>
      <xdr:row>617</xdr:row>
      <xdr:rowOff>0</xdr:rowOff>
    </xdr:to>
    <xdr:sp macro="" textlink="">
      <xdr:nvSpPr>
        <xdr:cNvPr id="286" name="Freeform 285">
          <a:extLst>
            <a:ext uri="{FF2B5EF4-FFF2-40B4-BE49-F238E27FC236}">
              <a16:creationId xmlns:a16="http://schemas.microsoft.com/office/drawing/2014/main" id="{00000000-0008-0000-0000-00001E010000}"/>
            </a:ext>
          </a:extLst>
        </xdr:cNvPr>
        <xdr:cNvSpPr/>
      </xdr:nvSpPr>
      <xdr:spPr>
        <a:xfrm flipH="1">
          <a:off x="12230100" y="919924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616</xdr:row>
      <xdr:rowOff>50321</xdr:rowOff>
    </xdr:from>
    <xdr:to>
      <xdr:col>12</xdr:col>
      <xdr:colOff>316301</xdr:colOff>
      <xdr:row>616</xdr:row>
      <xdr:rowOff>294736</xdr:rowOff>
    </xdr:to>
    <xdr:sp macro="[0]!btnPlusBusLeaseAreas_Click" textlink="">
      <xdr:nvSpPr>
        <xdr:cNvPr id="287" name="Plus 286">
          <a:extLst>
            <a:ext uri="{FF2B5EF4-FFF2-40B4-BE49-F238E27FC236}">
              <a16:creationId xmlns:a16="http://schemas.microsoft.com/office/drawing/2014/main" id="{00000000-0008-0000-0000-00001F010000}"/>
            </a:ext>
          </a:extLst>
        </xdr:cNvPr>
        <xdr:cNvSpPr/>
      </xdr:nvSpPr>
      <xdr:spPr>
        <a:xfrm>
          <a:off x="11968611" y="920427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616</xdr:row>
      <xdr:rowOff>43132</xdr:rowOff>
    </xdr:from>
    <xdr:to>
      <xdr:col>13</xdr:col>
      <xdr:colOff>287548</xdr:colOff>
      <xdr:row>616</xdr:row>
      <xdr:rowOff>301925</xdr:rowOff>
    </xdr:to>
    <xdr:sp macro="[0]!btnMinusBusLeaseAreas_Click" textlink="">
      <xdr:nvSpPr>
        <xdr:cNvPr id="288" name="Minus 287">
          <a:extLst>
            <a:ext uri="{FF2B5EF4-FFF2-40B4-BE49-F238E27FC236}">
              <a16:creationId xmlns:a16="http://schemas.microsoft.com/office/drawing/2014/main" id="{00000000-0008-0000-0000-000020010000}"/>
            </a:ext>
          </a:extLst>
        </xdr:cNvPr>
        <xdr:cNvSpPr/>
      </xdr:nvSpPr>
      <xdr:spPr>
        <a:xfrm>
          <a:off x="12258855" y="920355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616</xdr:row>
      <xdr:rowOff>0</xdr:rowOff>
    </xdr:from>
    <xdr:to>
      <xdr:col>3</xdr:col>
      <xdr:colOff>0</xdr:colOff>
      <xdr:row>617</xdr:row>
      <xdr:rowOff>0</xdr:rowOff>
    </xdr:to>
    <xdr:sp macro="" textlink="">
      <xdr:nvSpPr>
        <xdr:cNvPr id="289" name="Freeform 288">
          <a:extLst>
            <a:ext uri="{FF2B5EF4-FFF2-40B4-BE49-F238E27FC236}">
              <a16:creationId xmlns:a16="http://schemas.microsoft.com/office/drawing/2014/main" id="{00000000-0008-0000-0000-000021010000}"/>
            </a:ext>
          </a:extLst>
        </xdr:cNvPr>
        <xdr:cNvSpPr/>
      </xdr:nvSpPr>
      <xdr:spPr>
        <a:xfrm>
          <a:off x="601598" y="919924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620</xdr:row>
      <xdr:rowOff>91440</xdr:rowOff>
    </xdr:from>
    <xdr:to>
      <xdr:col>4</xdr:col>
      <xdr:colOff>759333</xdr:colOff>
      <xdr:row>620</xdr:row>
      <xdr:rowOff>256032</xdr:rowOff>
    </xdr:to>
    <xdr:pic macro="[0]!SetVF_Click">
      <xdr:nvPicPr>
        <xdr:cNvPr id="290" name="Picture 289">
          <a:extLst>
            <a:ext uri="{FF2B5EF4-FFF2-40B4-BE49-F238E27FC236}">
              <a16:creationId xmlns:a16="http://schemas.microsoft.com/office/drawing/2014/main" id="{00000000-0008-0000-0000-000022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93169740"/>
          <a:ext cx="155448" cy="164592"/>
        </a:xfrm>
        <a:prstGeom prst="rect">
          <a:avLst/>
        </a:prstGeom>
      </xdr:spPr>
    </xdr:pic>
    <xdr:clientData/>
  </xdr:twoCellAnchor>
  <xdr:twoCellAnchor>
    <xdr:from>
      <xdr:col>4</xdr:col>
      <xdr:colOff>1508760</xdr:colOff>
      <xdr:row>623</xdr:row>
      <xdr:rowOff>86994</xdr:rowOff>
    </xdr:from>
    <xdr:to>
      <xdr:col>4</xdr:col>
      <xdr:colOff>1664208</xdr:colOff>
      <xdr:row>623</xdr:row>
      <xdr:rowOff>251586</xdr:rowOff>
    </xdr:to>
    <xdr:pic macro="[0]!btnBusRentLeaseInfo_Click">
      <xdr:nvPicPr>
        <xdr:cNvPr id="291" name="Picture 290">
          <a:extLst>
            <a:ext uri="{FF2B5EF4-FFF2-40B4-BE49-F238E27FC236}">
              <a16:creationId xmlns:a16="http://schemas.microsoft.com/office/drawing/2014/main" id="{00000000-0008-0000-0000-000023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83288727"/>
          <a:ext cx="155448" cy="164592"/>
        </a:xfrm>
        <a:prstGeom prst="rect">
          <a:avLst/>
        </a:prstGeom>
      </xdr:spPr>
    </xdr:pic>
    <xdr:clientData/>
  </xdr:twoCellAnchor>
  <xdr:twoCellAnchor>
    <xdr:from>
      <xdr:col>13</xdr:col>
      <xdr:colOff>0</xdr:colOff>
      <xdr:row>625</xdr:row>
      <xdr:rowOff>0</xdr:rowOff>
    </xdr:from>
    <xdr:to>
      <xdr:col>14</xdr:col>
      <xdr:colOff>0</xdr:colOff>
      <xdr:row>626</xdr:row>
      <xdr:rowOff>0</xdr:rowOff>
    </xdr:to>
    <xdr:sp macro="" textlink="">
      <xdr:nvSpPr>
        <xdr:cNvPr id="292" name="Freeform 291">
          <a:extLst>
            <a:ext uri="{FF2B5EF4-FFF2-40B4-BE49-F238E27FC236}">
              <a16:creationId xmlns:a16="http://schemas.microsoft.com/office/drawing/2014/main" id="{00000000-0008-0000-0000-000024010000}"/>
            </a:ext>
          </a:extLst>
        </xdr:cNvPr>
        <xdr:cNvSpPr/>
      </xdr:nvSpPr>
      <xdr:spPr>
        <a:xfrm flipH="1">
          <a:off x="12230100" y="1290828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625</xdr:row>
      <xdr:rowOff>50321</xdr:rowOff>
    </xdr:from>
    <xdr:to>
      <xdr:col>12</xdr:col>
      <xdr:colOff>316301</xdr:colOff>
      <xdr:row>625</xdr:row>
      <xdr:rowOff>294736</xdr:rowOff>
    </xdr:to>
    <xdr:sp macro="[0]!btnPlusBusLeaseAreas_Click" textlink="">
      <xdr:nvSpPr>
        <xdr:cNvPr id="293" name="Plus 292">
          <a:extLst>
            <a:ext uri="{FF2B5EF4-FFF2-40B4-BE49-F238E27FC236}">
              <a16:creationId xmlns:a16="http://schemas.microsoft.com/office/drawing/2014/main" id="{00000000-0008-0000-0000-000025010000}"/>
            </a:ext>
          </a:extLst>
        </xdr:cNvPr>
        <xdr:cNvSpPr/>
      </xdr:nvSpPr>
      <xdr:spPr>
        <a:xfrm>
          <a:off x="11968611" y="1291331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625</xdr:row>
      <xdr:rowOff>43132</xdr:rowOff>
    </xdr:from>
    <xdr:to>
      <xdr:col>13</xdr:col>
      <xdr:colOff>287548</xdr:colOff>
      <xdr:row>625</xdr:row>
      <xdr:rowOff>301925</xdr:rowOff>
    </xdr:to>
    <xdr:sp macro="[0]!btnMinusBusLeaseAreas_Click" textlink="">
      <xdr:nvSpPr>
        <xdr:cNvPr id="294" name="Minus 293">
          <a:extLst>
            <a:ext uri="{FF2B5EF4-FFF2-40B4-BE49-F238E27FC236}">
              <a16:creationId xmlns:a16="http://schemas.microsoft.com/office/drawing/2014/main" id="{00000000-0008-0000-0000-000026010000}"/>
            </a:ext>
          </a:extLst>
        </xdr:cNvPr>
        <xdr:cNvSpPr/>
      </xdr:nvSpPr>
      <xdr:spPr>
        <a:xfrm>
          <a:off x="12258855" y="1291259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625</xdr:row>
      <xdr:rowOff>0</xdr:rowOff>
    </xdr:from>
    <xdr:to>
      <xdr:col>3</xdr:col>
      <xdr:colOff>0</xdr:colOff>
      <xdr:row>626</xdr:row>
      <xdr:rowOff>0</xdr:rowOff>
    </xdr:to>
    <xdr:sp macro="" textlink="">
      <xdr:nvSpPr>
        <xdr:cNvPr id="295" name="Freeform 294">
          <a:extLst>
            <a:ext uri="{FF2B5EF4-FFF2-40B4-BE49-F238E27FC236}">
              <a16:creationId xmlns:a16="http://schemas.microsoft.com/office/drawing/2014/main" id="{00000000-0008-0000-0000-000027010000}"/>
            </a:ext>
          </a:extLst>
        </xdr:cNvPr>
        <xdr:cNvSpPr/>
      </xdr:nvSpPr>
      <xdr:spPr>
        <a:xfrm>
          <a:off x="601598" y="1290828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629</xdr:row>
      <xdr:rowOff>91440</xdr:rowOff>
    </xdr:from>
    <xdr:to>
      <xdr:col>4</xdr:col>
      <xdr:colOff>759333</xdr:colOff>
      <xdr:row>629</xdr:row>
      <xdr:rowOff>256032</xdr:rowOff>
    </xdr:to>
    <xdr:pic macro="[0]!SetVF_Click">
      <xdr:nvPicPr>
        <xdr:cNvPr id="296" name="Picture 295">
          <a:extLst>
            <a:ext uri="{FF2B5EF4-FFF2-40B4-BE49-F238E27FC236}">
              <a16:creationId xmlns:a16="http://schemas.microsoft.com/office/drawing/2014/main" id="{00000000-0008-0000-0000-000028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30260090"/>
          <a:ext cx="155448" cy="164592"/>
        </a:xfrm>
        <a:prstGeom prst="rect">
          <a:avLst/>
        </a:prstGeom>
      </xdr:spPr>
    </xdr:pic>
    <xdr:clientData/>
  </xdr:twoCellAnchor>
  <xdr:twoCellAnchor>
    <xdr:from>
      <xdr:col>4</xdr:col>
      <xdr:colOff>1508760</xdr:colOff>
      <xdr:row>632</xdr:row>
      <xdr:rowOff>86994</xdr:rowOff>
    </xdr:from>
    <xdr:to>
      <xdr:col>4</xdr:col>
      <xdr:colOff>1664208</xdr:colOff>
      <xdr:row>632</xdr:row>
      <xdr:rowOff>251586</xdr:rowOff>
    </xdr:to>
    <xdr:pic macro="[0]!btnBusRentLeaseInfo_Click">
      <xdr:nvPicPr>
        <xdr:cNvPr id="297" name="Picture 296">
          <a:extLst>
            <a:ext uri="{FF2B5EF4-FFF2-40B4-BE49-F238E27FC236}">
              <a16:creationId xmlns:a16="http://schemas.microsoft.com/office/drawing/2014/main" id="{00000000-0008-0000-0000-000029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85727127"/>
          <a:ext cx="155448" cy="164592"/>
        </a:xfrm>
        <a:prstGeom prst="rect">
          <a:avLst/>
        </a:prstGeom>
      </xdr:spPr>
    </xdr:pic>
    <xdr:clientData/>
  </xdr:twoCellAnchor>
  <xdr:twoCellAnchor>
    <xdr:from>
      <xdr:col>13</xdr:col>
      <xdr:colOff>0</xdr:colOff>
      <xdr:row>634</xdr:row>
      <xdr:rowOff>0</xdr:rowOff>
    </xdr:from>
    <xdr:to>
      <xdr:col>14</xdr:col>
      <xdr:colOff>0</xdr:colOff>
      <xdr:row>635</xdr:row>
      <xdr:rowOff>0</xdr:rowOff>
    </xdr:to>
    <xdr:sp macro="" textlink="">
      <xdr:nvSpPr>
        <xdr:cNvPr id="298" name="Freeform 297">
          <a:extLst>
            <a:ext uri="{FF2B5EF4-FFF2-40B4-BE49-F238E27FC236}">
              <a16:creationId xmlns:a16="http://schemas.microsoft.com/office/drawing/2014/main" id="{00000000-0008-0000-0000-00002A010000}"/>
            </a:ext>
          </a:extLst>
        </xdr:cNvPr>
        <xdr:cNvSpPr/>
      </xdr:nvSpPr>
      <xdr:spPr>
        <a:xfrm flipH="1">
          <a:off x="12230100" y="1315402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634</xdr:row>
      <xdr:rowOff>50321</xdr:rowOff>
    </xdr:from>
    <xdr:to>
      <xdr:col>12</xdr:col>
      <xdr:colOff>316301</xdr:colOff>
      <xdr:row>634</xdr:row>
      <xdr:rowOff>294736</xdr:rowOff>
    </xdr:to>
    <xdr:sp macro="[0]!btnPlusBusLeaseAreas_Click" textlink="">
      <xdr:nvSpPr>
        <xdr:cNvPr id="299" name="Plus 298">
          <a:extLst>
            <a:ext uri="{FF2B5EF4-FFF2-40B4-BE49-F238E27FC236}">
              <a16:creationId xmlns:a16="http://schemas.microsoft.com/office/drawing/2014/main" id="{00000000-0008-0000-0000-00002B010000}"/>
            </a:ext>
          </a:extLst>
        </xdr:cNvPr>
        <xdr:cNvSpPr/>
      </xdr:nvSpPr>
      <xdr:spPr>
        <a:xfrm>
          <a:off x="11968611" y="1315905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634</xdr:row>
      <xdr:rowOff>43132</xdr:rowOff>
    </xdr:from>
    <xdr:to>
      <xdr:col>13</xdr:col>
      <xdr:colOff>287548</xdr:colOff>
      <xdr:row>634</xdr:row>
      <xdr:rowOff>301925</xdr:rowOff>
    </xdr:to>
    <xdr:sp macro="[0]!btnMinusBusLeaseAreas_Click" textlink="">
      <xdr:nvSpPr>
        <xdr:cNvPr id="300" name="Minus 299">
          <a:extLst>
            <a:ext uri="{FF2B5EF4-FFF2-40B4-BE49-F238E27FC236}">
              <a16:creationId xmlns:a16="http://schemas.microsoft.com/office/drawing/2014/main" id="{00000000-0008-0000-0000-00002C010000}"/>
            </a:ext>
          </a:extLst>
        </xdr:cNvPr>
        <xdr:cNvSpPr/>
      </xdr:nvSpPr>
      <xdr:spPr>
        <a:xfrm>
          <a:off x="12258855" y="1315833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634</xdr:row>
      <xdr:rowOff>0</xdr:rowOff>
    </xdr:from>
    <xdr:to>
      <xdr:col>3</xdr:col>
      <xdr:colOff>0</xdr:colOff>
      <xdr:row>635</xdr:row>
      <xdr:rowOff>0</xdr:rowOff>
    </xdr:to>
    <xdr:sp macro="" textlink="">
      <xdr:nvSpPr>
        <xdr:cNvPr id="301" name="Freeform 300">
          <a:extLst>
            <a:ext uri="{FF2B5EF4-FFF2-40B4-BE49-F238E27FC236}">
              <a16:creationId xmlns:a16="http://schemas.microsoft.com/office/drawing/2014/main" id="{00000000-0008-0000-0000-00002D010000}"/>
            </a:ext>
          </a:extLst>
        </xdr:cNvPr>
        <xdr:cNvSpPr/>
      </xdr:nvSpPr>
      <xdr:spPr>
        <a:xfrm>
          <a:off x="601598" y="1315402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638</xdr:row>
      <xdr:rowOff>91440</xdr:rowOff>
    </xdr:from>
    <xdr:to>
      <xdr:col>4</xdr:col>
      <xdr:colOff>759333</xdr:colOff>
      <xdr:row>638</xdr:row>
      <xdr:rowOff>256032</xdr:rowOff>
    </xdr:to>
    <xdr:pic macro="[0]!SetVF_Click">
      <xdr:nvPicPr>
        <xdr:cNvPr id="302" name="Picture 301">
          <a:extLst>
            <a:ext uri="{FF2B5EF4-FFF2-40B4-BE49-F238E27FC236}">
              <a16:creationId xmlns:a16="http://schemas.microsoft.com/office/drawing/2014/main" id="{00000000-0008-0000-0000-00002E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32717540"/>
          <a:ext cx="155448" cy="164592"/>
        </a:xfrm>
        <a:prstGeom prst="rect">
          <a:avLst/>
        </a:prstGeom>
      </xdr:spPr>
    </xdr:pic>
    <xdr:clientData/>
  </xdr:twoCellAnchor>
  <xdr:twoCellAnchor>
    <xdr:from>
      <xdr:col>4</xdr:col>
      <xdr:colOff>1508760</xdr:colOff>
      <xdr:row>641</xdr:row>
      <xdr:rowOff>86994</xdr:rowOff>
    </xdr:from>
    <xdr:to>
      <xdr:col>4</xdr:col>
      <xdr:colOff>1664208</xdr:colOff>
      <xdr:row>641</xdr:row>
      <xdr:rowOff>251586</xdr:rowOff>
    </xdr:to>
    <xdr:pic macro="[0]!btnBusRentLeaseInfo_Click">
      <xdr:nvPicPr>
        <xdr:cNvPr id="303" name="Picture 302">
          <a:extLst>
            <a:ext uri="{FF2B5EF4-FFF2-40B4-BE49-F238E27FC236}">
              <a16:creationId xmlns:a16="http://schemas.microsoft.com/office/drawing/2014/main" id="{00000000-0008-0000-0000-00002F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88165527"/>
          <a:ext cx="155448" cy="164592"/>
        </a:xfrm>
        <a:prstGeom prst="rect">
          <a:avLst/>
        </a:prstGeom>
      </xdr:spPr>
    </xdr:pic>
    <xdr:clientData/>
  </xdr:twoCellAnchor>
  <xdr:twoCellAnchor>
    <xdr:from>
      <xdr:col>13</xdr:col>
      <xdr:colOff>0</xdr:colOff>
      <xdr:row>643</xdr:row>
      <xdr:rowOff>0</xdr:rowOff>
    </xdr:from>
    <xdr:to>
      <xdr:col>14</xdr:col>
      <xdr:colOff>0</xdr:colOff>
      <xdr:row>644</xdr:row>
      <xdr:rowOff>0</xdr:rowOff>
    </xdr:to>
    <xdr:sp macro="" textlink="">
      <xdr:nvSpPr>
        <xdr:cNvPr id="304" name="Freeform 303">
          <a:extLst>
            <a:ext uri="{FF2B5EF4-FFF2-40B4-BE49-F238E27FC236}">
              <a16:creationId xmlns:a16="http://schemas.microsoft.com/office/drawing/2014/main" id="{00000000-0008-0000-0000-000030010000}"/>
            </a:ext>
          </a:extLst>
        </xdr:cNvPr>
        <xdr:cNvSpPr/>
      </xdr:nvSpPr>
      <xdr:spPr>
        <a:xfrm flipH="1">
          <a:off x="12230100" y="1339977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643</xdr:row>
      <xdr:rowOff>50321</xdr:rowOff>
    </xdr:from>
    <xdr:to>
      <xdr:col>12</xdr:col>
      <xdr:colOff>316301</xdr:colOff>
      <xdr:row>643</xdr:row>
      <xdr:rowOff>294736</xdr:rowOff>
    </xdr:to>
    <xdr:sp macro="[0]!btnPlusBusLeaseAreas_Click" textlink="">
      <xdr:nvSpPr>
        <xdr:cNvPr id="305" name="Plus 304">
          <a:extLst>
            <a:ext uri="{FF2B5EF4-FFF2-40B4-BE49-F238E27FC236}">
              <a16:creationId xmlns:a16="http://schemas.microsoft.com/office/drawing/2014/main" id="{00000000-0008-0000-0000-000031010000}"/>
            </a:ext>
          </a:extLst>
        </xdr:cNvPr>
        <xdr:cNvSpPr/>
      </xdr:nvSpPr>
      <xdr:spPr>
        <a:xfrm>
          <a:off x="11968611" y="1340480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643</xdr:row>
      <xdr:rowOff>43132</xdr:rowOff>
    </xdr:from>
    <xdr:to>
      <xdr:col>13</xdr:col>
      <xdr:colOff>287548</xdr:colOff>
      <xdr:row>643</xdr:row>
      <xdr:rowOff>301925</xdr:rowOff>
    </xdr:to>
    <xdr:sp macro="[0]!btnMinusBusLeaseAreas_Click" textlink="">
      <xdr:nvSpPr>
        <xdr:cNvPr id="306" name="Minus 305">
          <a:extLst>
            <a:ext uri="{FF2B5EF4-FFF2-40B4-BE49-F238E27FC236}">
              <a16:creationId xmlns:a16="http://schemas.microsoft.com/office/drawing/2014/main" id="{00000000-0008-0000-0000-000032010000}"/>
            </a:ext>
          </a:extLst>
        </xdr:cNvPr>
        <xdr:cNvSpPr/>
      </xdr:nvSpPr>
      <xdr:spPr>
        <a:xfrm>
          <a:off x="12258855" y="1340408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643</xdr:row>
      <xdr:rowOff>0</xdr:rowOff>
    </xdr:from>
    <xdr:to>
      <xdr:col>3</xdr:col>
      <xdr:colOff>0</xdr:colOff>
      <xdr:row>644</xdr:row>
      <xdr:rowOff>0</xdr:rowOff>
    </xdr:to>
    <xdr:sp macro="" textlink="">
      <xdr:nvSpPr>
        <xdr:cNvPr id="307" name="Freeform 306">
          <a:extLst>
            <a:ext uri="{FF2B5EF4-FFF2-40B4-BE49-F238E27FC236}">
              <a16:creationId xmlns:a16="http://schemas.microsoft.com/office/drawing/2014/main" id="{00000000-0008-0000-0000-000033010000}"/>
            </a:ext>
          </a:extLst>
        </xdr:cNvPr>
        <xdr:cNvSpPr/>
      </xdr:nvSpPr>
      <xdr:spPr>
        <a:xfrm>
          <a:off x="601598" y="1339977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647</xdr:row>
      <xdr:rowOff>91440</xdr:rowOff>
    </xdr:from>
    <xdr:to>
      <xdr:col>4</xdr:col>
      <xdr:colOff>759333</xdr:colOff>
      <xdr:row>647</xdr:row>
      <xdr:rowOff>256032</xdr:rowOff>
    </xdr:to>
    <xdr:pic macro="[0]!SetVF_Click">
      <xdr:nvPicPr>
        <xdr:cNvPr id="308" name="Picture 307">
          <a:extLst>
            <a:ext uri="{FF2B5EF4-FFF2-40B4-BE49-F238E27FC236}">
              <a16:creationId xmlns:a16="http://schemas.microsoft.com/office/drawing/2014/main" id="{00000000-0008-0000-0000-000034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35174990"/>
          <a:ext cx="155448" cy="164592"/>
        </a:xfrm>
        <a:prstGeom prst="rect">
          <a:avLst/>
        </a:prstGeom>
      </xdr:spPr>
    </xdr:pic>
    <xdr:clientData/>
  </xdr:twoCellAnchor>
  <xdr:twoCellAnchor>
    <xdr:from>
      <xdr:col>4</xdr:col>
      <xdr:colOff>1508760</xdr:colOff>
      <xdr:row>650</xdr:row>
      <xdr:rowOff>86994</xdr:rowOff>
    </xdr:from>
    <xdr:to>
      <xdr:col>4</xdr:col>
      <xdr:colOff>1664208</xdr:colOff>
      <xdr:row>650</xdr:row>
      <xdr:rowOff>251586</xdr:rowOff>
    </xdr:to>
    <xdr:pic macro="[0]!btnBusRentLeaseInfo_Click">
      <xdr:nvPicPr>
        <xdr:cNvPr id="309" name="Picture 308">
          <a:extLst>
            <a:ext uri="{FF2B5EF4-FFF2-40B4-BE49-F238E27FC236}">
              <a16:creationId xmlns:a16="http://schemas.microsoft.com/office/drawing/2014/main" id="{00000000-0008-0000-0000-000035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90603927"/>
          <a:ext cx="155448" cy="164592"/>
        </a:xfrm>
        <a:prstGeom prst="rect">
          <a:avLst/>
        </a:prstGeom>
      </xdr:spPr>
    </xdr:pic>
    <xdr:clientData/>
  </xdr:twoCellAnchor>
  <xdr:twoCellAnchor>
    <xdr:from>
      <xdr:col>13</xdr:col>
      <xdr:colOff>0</xdr:colOff>
      <xdr:row>652</xdr:row>
      <xdr:rowOff>0</xdr:rowOff>
    </xdr:from>
    <xdr:to>
      <xdr:col>14</xdr:col>
      <xdr:colOff>0</xdr:colOff>
      <xdr:row>653</xdr:row>
      <xdr:rowOff>0</xdr:rowOff>
    </xdr:to>
    <xdr:sp macro="" textlink="">
      <xdr:nvSpPr>
        <xdr:cNvPr id="310" name="Freeform 309">
          <a:extLst>
            <a:ext uri="{FF2B5EF4-FFF2-40B4-BE49-F238E27FC236}">
              <a16:creationId xmlns:a16="http://schemas.microsoft.com/office/drawing/2014/main" id="{00000000-0008-0000-0000-000036010000}"/>
            </a:ext>
          </a:extLst>
        </xdr:cNvPr>
        <xdr:cNvSpPr/>
      </xdr:nvSpPr>
      <xdr:spPr>
        <a:xfrm flipH="1">
          <a:off x="12230100" y="1364551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652</xdr:row>
      <xdr:rowOff>50321</xdr:rowOff>
    </xdr:from>
    <xdr:to>
      <xdr:col>12</xdr:col>
      <xdr:colOff>316301</xdr:colOff>
      <xdr:row>652</xdr:row>
      <xdr:rowOff>294736</xdr:rowOff>
    </xdr:to>
    <xdr:sp macro="[0]!btnPlusBusLeaseAreas_Click" textlink="">
      <xdr:nvSpPr>
        <xdr:cNvPr id="311" name="Plus 310">
          <a:extLst>
            <a:ext uri="{FF2B5EF4-FFF2-40B4-BE49-F238E27FC236}">
              <a16:creationId xmlns:a16="http://schemas.microsoft.com/office/drawing/2014/main" id="{00000000-0008-0000-0000-000037010000}"/>
            </a:ext>
          </a:extLst>
        </xdr:cNvPr>
        <xdr:cNvSpPr/>
      </xdr:nvSpPr>
      <xdr:spPr>
        <a:xfrm>
          <a:off x="11968611" y="1365054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652</xdr:row>
      <xdr:rowOff>43132</xdr:rowOff>
    </xdr:from>
    <xdr:to>
      <xdr:col>13</xdr:col>
      <xdr:colOff>287548</xdr:colOff>
      <xdr:row>652</xdr:row>
      <xdr:rowOff>301925</xdr:rowOff>
    </xdr:to>
    <xdr:sp macro="[0]!btnMinusBusLeaseAreas_Click" textlink="">
      <xdr:nvSpPr>
        <xdr:cNvPr id="312" name="Minus 311">
          <a:extLst>
            <a:ext uri="{FF2B5EF4-FFF2-40B4-BE49-F238E27FC236}">
              <a16:creationId xmlns:a16="http://schemas.microsoft.com/office/drawing/2014/main" id="{00000000-0008-0000-0000-000038010000}"/>
            </a:ext>
          </a:extLst>
        </xdr:cNvPr>
        <xdr:cNvSpPr/>
      </xdr:nvSpPr>
      <xdr:spPr>
        <a:xfrm>
          <a:off x="12258855" y="1364982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652</xdr:row>
      <xdr:rowOff>0</xdr:rowOff>
    </xdr:from>
    <xdr:to>
      <xdr:col>3</xdr:col>
      <xdr:colOff>0</xdr:colOff>
      <xdr:row>653</xdr:row>
      <xdr:rowOff>0</xdr:rowOff>
    </xdr:to>
    <xdr:sp macro="" textlink="">
      <xdr:nvSpPr>
        <xdr:cNvPr id="313" name="Freeform 312">
          <a:extLst>
            <a:ext uri="{FF2B5EF4-FFF2-40B4-BE49-F238E27FC236}">
              <a16:creationId xmlns:a16="http://schemas.microsoft.com/office/drawing/2014/main" id="{00000000-0008-0000-0000-000039010000}"/>
            </a:ext>
          </a:extLst>
        </xdr:cNvPr>
        <xdr:cNvSpPr/>
      </xdr:nvSpPr>
      <xdr:spPr>
        <a:xfrm>
          <a:off x="601598" y="1364551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656</xdr:row>
      <xdr:rowOff>91440</xdr:rowOff>
    </xdr:from>
    <xdr:to>
      <xdr:col>4</xdr:col>
      <xdr:colOff>759333</xdr:colOff>
      <xdr:row>656</xdr:row>
      <xdr:rowOff>256032</xdr:rowOff>
    </xdr:to>
    <xdr:pic macro="[0]!SetVF_Click">
      <xdr:nvPicPr>
        <xdr:cNvPr id="314" name="Picture 313">
          <a:extLst>
            <a:ext uri="{FF2B5EF4-FFF2-40B4-BE49-F238E27FC236}">
              <a16:creationId xmlns:a16="http://schemas.microsoft.com/office/drawing/2014/main" id="{00000000-0008-0000-0000-00003A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37632440"/>
          <a:ext cx="155448" cy="164592"/>
        </a:xfrm>
        <a:prstGeom prst="rect">
          <a:avLst/>
        </a:prstGeom>
      </xdr:spPr>
    </xdr:pic>
    <xdr:clientData/>
  </xdr:twoCellAnchor>
  <xdr:twoCellAnchor>
    <xdr:from>
      <xdr:col>4</xdr:col>
      <xdr:colOff>1508760</xdr:colOff>
      <xdr:row>659</xdr:row>
      <xdr:rowOff>86994</xdr:rowOff>
    </xdr:from>
    <xdr:to>
      <xdr:col>4</xdr:col>
      <xdr:colOff>1664208</xdr:colOff>
      <xdr:row>659</xdr:row>
      <xdr:rowOff>251586</xdr:rowOff>
    </xdr:to>
    <xdr:pic macro="[0]!btnBusRentLeaseInfo_Click">
      <xdr:nvPicPr>
        <xdr:cNvPr id="315" name="Picture 314">
          <a:extLst>
            <a:ext uri="{FF2B5EF4-FFF2-40B4-BE49-F238E27FC236}">
              <a16:creationId xmlns:a16="http://schemas.microsoft.com/office/drawing/2014/main" id="{00000000-0008-0000-0000-00003B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93042327"/>
          <a:ext cx="155448" cy="164592"/>
        </a:xfrm>
        <a:prstGeom prst="rect">
          <a:avLst/>
        </a:prstGeom>
      </xdr:spPr>
    </xdr:pic>
    <xdr:clientData/>
  </xdr:twoCellAnchor>
  <xdr:twoCellAnchor>
    <xdr:from>
      <xdr:col>13</xdr:col>
      <xdr:colOff>0</xdr:colOff>
      <xdr:row>661</xdr:row>
      <xdr:rowOff>0</xdr:rowOff>
    </xdr:from>
    <xdr:to>
      <xdr:col>14</xdr:col>
      <xdr:colOff>0</xdr:colOff>
      <xdr:row>662</xdr:row>
      <xdr:rowOff>0</xdr:rowOff>
    </xdr:to>
    <xdr:sp macro="" textlink="">
      <xdr:nvSpPr>
        <xdr:cNvPr id="316" name="Freeform 315">
          <a:extLst>
            <a:ext uri="{FF2B5EF4-FFF2-40B4-BE49-F238E27FC236}">
              <a16:creationId xmlns:a16="http://schemas.microsoft.com/office/drawing/2014/main" id="{00000000-0008-0000-0000-00003C010000}"/>
            </a:ext>
          </a:extLst>
        </xdr:cNvPr>
        <xdr:cNvSpPr/>
      </xdr:nvSpPr>
      <xdr:spPr>
        <a:xfrm flipH="1">
          <a:off x="12230100" y="1389126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661</xdr:row>
      <xdr:rowOff>50321</xdr:rowOff>
    </xdr:from>
    <xdr:to>
      <xdr:col>12</xdr:col>
      <xdr:colOff>316301</xdr:colOff>
      <xdr:row>661</xdr:row>
      <xdr:rowOff>294736</xdr:rowOff>
    </xdr:to>
    <xdr:sp macro="[0]!btnPlusBusLeaseAreas_Click" textlink="">
      <xdr:nvSpPr>
        <xdr:cNvPr id="317" name="Plus 316">
          <a:extLst>
            <a:ext uri="{FF2B5EF4-FFF2-40B4-BE49-F238E27FC236}">
              <a16:creationId xmlns:a16="http://schemas.microsoft.com/office/drawing/2014/main" id="{00000000-0008-0000-0000-00003D010000}"/>
            </a:ext>
          </a:extLst>
        </xdr:cNvPr>
        <xdr:cNvSpPr/>
      </xdr:nvSpPr>
      <xdr:spPr>
        <a:xfrm>
          <a:off x="11968611" y="1389629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661</xdr:row>
      <xdr:rowOff>43132</xdr:rowOff>
    </xdr:from>
    <xdr:to>
      <xdr:col>13</xdr:col>
      <xdr:colOff>287548</xdr:colOff>
      <xdr:row>661</xdr:row>
      <xdr:rowOff>301925</xdr:rowOff>
    </xdr:to>
    <xdr:sp macro="[0]!btnMinusBusLeaseAreas_Click" textlink="">
      <xdr:nvSpPr>
        <xdr:cNvPr id="318" name="Minus 317">
          <a:extLst>
            <a:ext uri="{FF2B5EF4-FFF2-40B4-BE49-F238E27FC236}">
              <a16:creationId xmlns:a16="http://schemas.microsoft.com/office/drawing/2014/main" id="{00000000-0008-0000-0000-00003E010000}"/>
            </a:ext>
          </a:extLst>
        </xdr:cNvPr>
        <xdr:cNvSpPr/>
      </xdr:nvSpPr>
      <xdr:spPr>
        <a:xfrm>
          <a:off x="12258855" y="1389557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661</xdr:row>
      <xdr:rowOff>0</xdr:rowOff>
    </xdr:from>
    <xdr:to>
      <xdr:col>3</xdr:col>
      <xdr:colOff>0</xdr:colOff>
      <xdr:row>662</xdr:row>
      <xdr:rowOff>0</xdr:rowOff>
    </xdr:to>
    <xdr:sp macro="" textlink="">
      <xdr:nvSpPr>
        <xdr:cNvPr id="319" name="Freeform 318">
          <a:extLst>
            <a:ext uri="{FF2B5EF4-FFF2-40B4-BE49-F238E27FC236}">
              <a16:creationId xmlns:a16="http://schemas.microsoft.com/office/drawing/2014/main" id="{00000000-0008-0000-0000-00003F010000}"/>
            </a:ext>
          </a:extLst>
        </xdr:cNvPr>
        <xdr:cNvSpPr/>
      </xdr:nvSpPr>
      <xdr:spPr>
        <a:xfrm>
          <a:off x="601598" y="1389126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665</xdr:row>
      <xdr:rowOff>91440</xdr:rowOff>
    </xdr:from>
    <xdr:to>
      <xdr:col>4</xdr:col>
      <xdr:colOff>759333</xdr:colOff>
      <xdr:row>665</xdr:row>
      <xdr:rowOff>256032</xdr:rowOff>
    </xdr:to>
    <xdr:pic macro="[0]!SetVF_Click">
      <xdr:nvPicPr>
        <xdr:cNvPr id="320" name="Picture 319">
          <a:extLst>
            <a:ext uri="{FF2B5EF4-FFF2-40B4-BE49-F238E27FC236}">
              <a16:creationId xmlns:a16="http://schemas.microsoft.com/office/drawing/2014/main" id="{00000000-0008-0000-0000-000040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40089890"/>
          <a:ext cx="155448" cy="164592"/>
        </a:xfrm>
        <a:prstGeom prst="rect">
          <a:avLst/>
        </a:prstGeom>
      </xdr:spPr>
    </xdr:pic>
    <xdr:clientData/>
  </xdr:twoCellAnchor>
  <xdr:twoCellAnchor>
    <xdr:from>
      <xdr:col>4</xdr:col>
      <xdr:colOff>1508760</xdr:colOff>
      <xdr:row>668</xdr:row>
      <xdr:rowOff>86994</xdr:rowOff>
    </xdr:from>
    <xdr:to>
      <xdr:col>4</xdr:col>
      <xdr:colOff>1664208</xdr:colOff>
      <xdr:row>668</xdr:row>
      <xdr:rowOff>251586</xdr:rowOff>
    </xdr:to>
    <xdr:pic macro="[0]!btnBusRentLeaseInfo_Click">
      <xdr:nvPicPr>
        <xdr:cNvPr id="321" name="Picture 320">
          <a:extLst>
            <a:ext uri="{FF2B5EF4-FFF2-40B4-BE49-F238E27FC236}">
              <a16:creationId xmlns:a16="http://schemas.microsoft.com/office/drawing/2014/main" id="{00000000-0008-0000-0000-000041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95480727"/>
          <a:ext cx="155448" cy="164592"/>
        </a:xfrm>
        <a:prstGeom prst="rect">
          <a:avLst/>
        </a:prstGeom>
      </xdr:spPr>
    </xdr:pic>
    <xdr:clientData/>
  </xdr:twoCellAnchor>
  <xdr:twoCellAnchor>
    <xdr:from>
      <xdr:col>13</xdr:col>
      <xdr:colOff>0</xdr:colOff>
      <xdr:row>670</xdr:row>
      <xdr:rowOff>0</xdr:rowOff>
    </xdr:from>
    <xdr:to>
      <xdr:col>14</xdr:col>
      <xdr:colOff>0</xdr:colOff>
      <xdr:row>671</xdr:row>
      <xdr:rowOff>0</xdr:rowOff>
    </xdr:to>
    <xdr:sp macro="" textlink="">
      <xdr:nvSpPr>
        <xdr:cNvPr id="322" name="Freeform 321">
          <a:extLst>
            <a:ext uri="{FF2B5EF4-FFF2-40B4-BE49-F238E27FC236}">
              <a16:creationId xmlns:a16="http://schemas.microsoft.com/office/drawing/2014/main" id="{00000000-0008-0000-0000-000042010000}"/>
            </a:ext>
          </a:extLst>
        </xdr:cNvPr>
        <xdr:cNvSpPr/>
      </xdr:nvSpPr>
      <xdr:spPr>
        <a:xfrm flipH="1">
          <a:off x="12230100" y="1413700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670</xdr:row>
      <xdr:rowOff>50321</xdr:rowOff>
    </xdr:from>
    <xdr:to>
      <xdr:col>12</xdr:col>
      <xdr:colOff>316301</xdr:colOff>
      <xdr:row>670</xdr:row>
      <xdr:rowOff>294736</xdr:rowOff>
    </xdr:to>
    <xdr:sp macro="[0]!btnPlusBusLeaseAreas_Click" textlink="">
      <xdr:nvSpPr>
        <xdr:cNvPr id="323" name="Plus 322">
          <a:extLst>
            <a:ext uri="{FF2B5EF4-FFF2-40B4-BE49-F238E27FC236}">
              <a16:creationId xmlns:a16="http://schemas.microsoft.com/office/drawing/2014/main" id="{00000000-0008-0000-0000-000043010000}"/>
            </a:ext>
          </a:extLst>
        </xdr:cNvPr>
        <xdr:cNvSpPr/>
      </xdr:nvSpPr>
      <xdr:spPr>
        <a:xfrm>
          <a:off x="11968611" y="1414203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670</xdr:row>
      <xdr:rowOff>43132</xdr:rowOff>
    </xdr:from>
    <xdr:to>
      <xdr:col>13</xdr:col>
      <xdr:colOff>287548</xdr:colOff>
      <xdr:row>670</xdr:row>
      <xdr:rowOff>301925</xdr:rowOff>
    </xdr:to>
    <xdr:sp macro="[0]!btnMinusBusLeaseAreas_Click" textlink="">
      <xdr:nvSpPr>
        <xdr:cNvPr id="324" name="Minus 323">
          <a:extLst>
            <a:ext uri="{FF2B5EF4-FFF2-40B4-BE49-F238E27FC236}">
              <a16:creationId xmlns:a16="http://schemas.microsoft.com/office/drawing/2014/main" id="{00000000-0008-0000-0000-000044010000}"/>
            </a:ext>
          </a:extLst>
        </xdr:cNvPr>
        <xdr:cNvSpPr/>
      </xdr:nvSpPr>
      <xdr:spPr>
        <a:xfrm>
          <a:off x="12258855" y="1414131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670</xdr:row>
      <xdr:rowOff>0</xdr:rowOff>
    </xdr:from>
    <xdr:to>
      <xdr:col>3</xdr:col>
      <xdr:colOff>0</xdr:colOff>
      <xdr:row>671</xdr:row>
      <xdr:rowOff>0</xdr:rowOff>
    </xdr:to>
    <xdr:sp macro="" textlink="">
      <xdr:nvSpPr>
        <xdr:cNvPr id="325" name="Freeform 324">
          <a:extLst>
            <a:ext uri="{FF2B5EF4-FFF2-40B4-BE49-F238E27FC236}">
              <a16:creationId xmlns:a16="http://schemas.microsoft.com/office/drawing/2014/main" id="{00000000-0008-0000-0000-000045010000}"/>
            </a:ext>
          </a:extLst>
        </xdr:cNvPr>
        <xdr:cNvSpPr/>
      </xdr:nvSpPr>
      <xdr:spPr>
        <a:xfrm>
          <a:off x="601598" y="1413700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674</xdr:row>
      <xdr:rowOff>91440</xdr:rowOff>
    </xdr:from>
    <xdr:to>
      <xdr:col>4</xdr:col>
      <xdr:colOff>759333</xdr:colOff>
      <xdr:row>674</xdr:row>
      <xdr:rowOff>256032</xdr:rowOff>
    </xdr:to>
    <xdr:pic macro="[0]!SetVF_Click">
      <xdr:nvPicPr>
        <xdr:cNvPr id="326" name="Picture 325">
          <a:extLst>
            <a:ext uri="{FF2B5EF4-FFF2-40B4-BE49-F238E27FC236}">
              <a16:creationId xmlns:a16="http://schemas.microsoft.com/office/drawing/2014/main" id="{00000000-0008-0000-0000-000046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42547340"/>
          <a:ext cx="155448" cy="164592"/>
        </a:xfrm>
        <a:prstGeom prst="rect">
          <a:avLst/>
        </a:prstGeom>
      </xdr:spPr>
    </xdr:pic>
    <xdr:clientData/>
  </xdr:twoCellAnchor>
  <xdr:twoCellAnchor>
    <xdr:from>
      <xdr:col>4</xdr:col>
      <xdr:colOff>1508760</xdr:colOff>
      <xdr:row>677</xdr:row>
      <xdr:rowOff>86994</xdr:rowOff>
    </xdr:from>
    <xdr:to>
      <xdr:col>4</xdr:col>
      <xdr:colOff>1664208</xdr:colOff>
      <xdr:row>677</xdr:row>
      <xdr:rowOff>251586</xdr:rowOff>
    </xdr:to>
    <xdr:pic macro="[0]!btnBusRentLeaseInfo_Click">
      <xdr:nvPicPr>
        <xdr:cNvPr id="327" name="Picture 326">
          <a:extLst>
            <a:ext uri="{FF2B5EF4-FFF2-40B4-BE49-F238E27FC236}">
              <a16:creationId xmlns:a16="http://schemas.microsoft.com/office/drawing/2014/main" id="{00000000-0008-0000-0000-000047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197919127"/>
          <a:ext cx="155448" cy="164592"/>
        </a:xfrm>
        <a:prstGeom prst="rect">
          <a:avLst/>
        </a:prstGeom>
      </xdr:spPr>
    </xdr:pic>
    <xdr:clientData/>
  </xdr:twoCellAnchor>
  <xdr:twoCellAnchor>
    <xdr:from>
      <xdr:col>13</xdr:col>
      <xdr:colOff>0</xdr:colOff>
      <xdr:row>679</xdr:row>
      <xdr:rowOff>0</xdr:rowOff>
    </xdr:from>
    <xdr:to>
      <xdr:col>14</xdr:col>
      <xdr:colOff>0</xdr:colOff>
      <xdr:row>680</xdr:row>
      <xdr:rowOff>0</xdr:rowOff>
    </xdr:to>
    <xdr:sp macro="" textlink="">
      <xdr:nvSpPr>
        <xdr:cNvPr id="328" name="Freeform 327">
          <a:extLst>
            <a:ext uri="{FF2B5EF4-FFF2-40B4-BE49-F238E27FC236}">
              <a16:creationId xmlns:a16="http://schemas.microsoft.com/office/drawing/2014/main" id="{00000000-0008-0000-0000-000048010000}"/>
            </a:ext>
          </a:extLst>
        </xdr:cNvPr>
        <xdr:cNvSpPr/>
      </xdr:nvSpPr>
      <xdr:spPr>
        <a:xfrm flipH="1">
          <a:off x="12230100" y="1438275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679</xdr:row>
      <xdr:rowOff>50321</xdr:rowOff>
    </xdr:from>
    <xdr:to>
      <xdr:col>12</xdr:col>
      <xdr:colOff>316301</xdr:colOff>
      <xdr:row>679</xdr:row>
      <xdr:rowOff>294736</xdr:rowOff>
    </xdr:to>
    <xdr:sp macro="[0]!btnPlusBusLeaseAreas_Click" textlink="">
      <xdr:nvSpPr>
        <xdr:cNvPr id="329" name="Plus 328">
          <a:extLst>
            <a:ext uri="{FF2B5EF4-FFF2-40B4-BE49-F238E27FC236}">
              <a16:creationId xmlns:a16="http://schemas.microsoft.com/office/drawing/2014/main" id="{00000000-0008-0000-0000-000049010000}"/>
            </a:ext>
          </a:extLst>
        </xdr:cNvPr>
        <xdr:cNvSpPr/>
      </xdr:nvSpPr>
      <xdr:spPr>
        <a:xfrm>
          <a:off x="11968611" y="1438778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679</xdr:row>
      <xdr:rowOff>43132</xdr:rowOff>
    </xdr:from>
    <xdr:to>
      <xdr:col>13</xdr:col>
      <xdr:colOff>287548</xdr:colOff>
      <xdr:row>679</xdr:row>
      <xdr:rowOff>301925</xdr:rowOff>
    </xdr:to>
    <xdr:sp macro="[0]!btnMinusBusLeaseAreas_Click" textlink="">
      <xdr:nvSpPr>
        <xdr:cNvPr id="330" name="Minus 329">
          <a:extLst>
            <a:ext uri="{FF2B5EF4-FFF2-40B4-BE49-F238E27FC236}">
              <a16:creationId xmlns:a16="http://schemas.microsoft.com/office/drawing/2014/main" id="{00000000-0008-0000-0000-00004A010000}"/>
            </a:ext>
          </a:extLst>
        </xdr:cNvPr>
        <xdr:cNvSpPr/>
      </xdr:nvSpPr>
      <xdr:spPr>
        <a:xfrm>
          <a:off x="12258855" y="1438706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679</xdr:row>
      <xdr:rowOff>0</xdr:rowOff>
    </xdr:from>
    <xdr:to>
      <xdr:col>3</xdr:col>
      <xdr:colOff>0</xdr:colOff>
      <xdr:row>680</xdr:row>
      <xdr:rowOff>0</xdr:rowOff>
    </xdr:to>
    <xdr:sp macro="" textlink="">
      <xdr:nvSpPr>
        <xdr:cNvPr id="331" name="Freeform 330">
          <a:extLst>
            <a:ext uri="{FF2B5EF4-FFF2-40B4-BE49-F238E27FC236}">
              <a16:creationId xmlns:a16="http://schemas.microsoft.com/office/drawing/2014/main" id="{00000000-0008-0000-0000-00004B010000}"/>
            </a:ext>
          </a:extLst>
        </xdr:cNvPr>
        <xdr:cNvSpPr/>
      </xdr:nvSpPr>
      <xdr:spPr>
        <a:xfrm>
          <a:off x="601598" y="1438275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683</xdr:row>
      <xdr:rowOff>91440</xdr:rowOff>
    </xdr:from>
    <xdr:to>
      <xdr:col>4</xdr:col>
      <xdr:colOff>759333</xdr:colOff>
      <xdr:row>683</xdr:row>
      <xdr:rowOff>256032</xdr:rowOff>
    </xdr:to>
    <xdr:pic macro="[0]!SetVF_Click">
      <xdr:nvPicPr>
        <xdr:cNvPr id="332" name="Picture 331">
          <a:extLst>
            <a:ext uri="{FF2B5EF4-FFF2-40B4-BE49-F238E27FC236}">
              <a16:creationId xmlns:a16="http://schemas.microsoft.com/office/drawing/2014/main" id="{00000000-0008-0000-0000-00004C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45004790"/>
          <a:ext cx="155448" cy="164592"/>
        </a:xfrm>
        <a:prstGeom prst="rect">
          <a:avLst/>
        </a:prstGeom>
      </xdr:spPr>
    </xdr:pic>
    <xdr:clientData/>
  </xdr:twoCellAnchor>
  <xdr:twoCellAnchor>
    <xdr:from>
      <xdr:col>4</xdr:col>
      <xdr:colOff>1508760</xdr:colOff>
      <xdr:row>686</xdr:row>
      <xdr:rowOff>86994</xdr:rowOff>
    </xdr:from>
    <xdr:to>
      <xdr:col>4</xdr:col>
      <xdr:colOff>1664208</xdr:colOff>
      <xdr:row>686</xdr:row>
      <xdr:rowOff>251586</xdr:rowOff>
    </xdr:to>
    <xdr:pic macro="[0]!btnBusRentLeaseInfo_Click">
      <xdr:nvPicPr>
        <xdr:cNvPr id="333" name="Picture 332">
          <a:extLst>
            <a:ext uri="{FF2B5EF4-FFF2-40B4-BE49-F238E27FC236}">
              <a16:creationId xmlns:a16="http://schemas.microsoft.com/office/drawing/2014/main" id="{00000000-0008-0000-0000-00004D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200357527"/>
          <a:ext cx="155448" cy="164592"/>
        </a:xfrm>
        <a:prstGeom prst="rect">
          <a:avLst/>
        </a:prstGeom>
      </xdr:spPr>
    </xdr:pic>
    <xdr:clientData/>
  </xdr:twoCellAnchor>
  <xdr:twoCellAnchor>
    <xdr:from>
      <xdr:col>13</xdr:col>
      <xdr:colOff>0</xdr:colOff>
      <xdr:row>688</xdr:row>
      <xdr:rowOff>0</xdr:rowOff>
    </xdr:from>
    <xdr:to>
      <xdr:col>14</xdr:col>
      <xdr:colOff>0</xdr:colOff>
      <xdr:row>689</xdr:row>
      <xdr:rowOff>0</xdr:rowOff>
    </xdr:to>
    <xdr:sp macro="" textlink="">
      <xdr:nvSpPr>
        <xdr:cNvPr id="334" name="Freeform 333">
          <a:extLst>
            <a:ext uri="{FF2B5EF4-FFF2-40B4-BE49-F238E27FC236}">
              <a16:creationId xmlns:a16="http://schemas.microsoft.com/office/drawing/2014/main" id="{00000000-0008-0000-0000-00004E010000}"/>
            </a:ext>
          </a:extLst>
        </xdr:cNvPr>
        <xdr:cNvSpPr/>
      </xdr:nvSpPr>
      <xdr:spPr>
        <a:xfrm flipH="1">
          <a:off x="12230100" y="1462849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688</xdr:row>
      <xdr:rowOff>50321</xdr:rowOff>
    </xdr:from>
    <xdr:to>
      <xdr:col>12</xdr:col>
      <xdr:colOff>316301</xdr:colOff>
      <xdr:row>688</xdr:row>
      <xdr:rowOff>294736</xdr:rowOff>
    </xdr:to>
    <xdr:sp macro="[0]!btnPlusBusLeaseAreas_Click" textlink="">
      <xdr:nvSpPr>
        <xdr:cNvPr id="335" name="Plus 334">
          <a:extLst>
            <a:ext uri="{FF2B5EF4-FFF2-40B4-BE49-F238E27FC236}">
              <a16:creationId xmlns:a16="http://schemas.microsoft.com/office/drawing/2014/main" id="{00000000-0008-0000-0000-00004F010000}"/>
            </a:ext>
          </a:extLst>
        </xdr:cNvPr>
        <xdr:cNvSpPr/>
      </xdr:nvSpPr>
      <xdr:spPr>
        <a:xfrm>
          <a:off x="11968611" y="1463352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688</xdr:row>
      <xdr:rowOff>43132</xdr:rowOff>
    </xdr:from>
    <xdr:to>
      <xdr:col>13</xdr:col>
      <xdr:colOff>287548</xdr:colOff>
      <xdr:row>688</xdr:row>
      <xdr:rowOff>301925</xdr:rowOff>
    </xdr:to>
    <xdr:sp macro="[0]!btnMinusBusLeaseAreas_Click" textlink="">
      <xdr:nvSpPr>
        <xdr:cNvPr id="336" name="Minus 335">
          <a:extLst>
            <a:ext uri="{FF2B5EF4-FFF2-40B4-BE49-F238E27FC236}">
              <a16:creationId xmlns:a16="http://schemas.microsoft.com/office/drawing/2014/main" id="{00000000-0008-0000-0000-000050010000}"/>
            </a:ext>
          </a:extLst>
        </xdr:cNvPr>
        <xdr:cNvSpPr/>
      </xdr:nvSpPr>
      <xdr:spPr>
        <a:xfrm>
          <a:off x="12258855" y="1463280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688</xdr:row>
      <xdr:rowOff>0</xdr:rowOff>
    </xdr:from>
    <xdr:to>
      <xdr:col>3</xdr:col>
      <xdr:colOff>0</xdr:colOff>
      <xdr:row>689</xdr:row>
      <xdr:rowOff>0</xdr:rowOff>
    </xdr:to>
    <xdr:sp macro="" textlink="">
      <xdr:nvSpPr>
        <xdr:cNvPr id="337" name="Freeform 336">
          <a:extLst>
            <a:ext uri="{FF2B5EF4-FFF2-40B4-BE49-F238E27FC236}">
              <a16:creationId xmlns:a16="http://schemas.microsoft.com/office/drawing/2014/main" id="{00000000-0008-0000-0000-000051010000}"/>
            </a:ext>
          </a:extLst>
        </xdr:cNvPr>
        <xdr:cNvSpPr/>
      </xdr:nvSpPr>
      <xdr:spPr>
        <a:xfrm>
          <a:off x="601598" y="1462849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692</xdr:row>
      <xdr:rowOff>91440</xdr:rowOff>
    </xdr:from>
    <xdr:to>
      <xdr:col>4</xdr:col>
      <xdr:colOff>759333</xdr:colOff>
      <xdr:row>692</xdr:row>
      <xdr:rowOff>256032</xdr:rowOff>
    </xdr:to>
    <xdr:pic macro="[0]!SetVF_Click">
      <xdr:nvPicPr>
        <xdr:cNvPr id="338" name="Picture 337">
          <a:extLst>
            <a:ext uri="{FF2B5EF4-FFF2-40B4-BE49-F238E27FC236}">
              <a16:creationId xmlns:a16="http://schemas.microsoft.com/office/drawing/2014/main" id="{00000000-0008-0000-0000-000052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47462240"/>
          <a:ext cx="155448" cy="164592"/>
        </a:xfrm>
        <a:prstGeom prst="rect">
          <a:avLst/>
        </a:prstGeom>
      </xdr:spPr>
    </xdr:pic>
    <xdr:clientData/>
  </xdr:twoCellAnchor>
  <xdr:twoCellAnchor>
    <xdr:from>
      <xdr:col>4</xdr:col>
      <xdr:colOff>1508760</xdr:colOff>
      <xdr:row>695</xdr:row>
      <xdr:rowOff>86994</xdr:rowOff>
    </xdr:from>
    <xdr:to>
      <xdr:col>4</xdr:col>
      <xdr:colOff>1664208</xdr:colOff>
      <xdr:row>695</xdr:row>
      <xdr:rowOff>251586</xdr:rowOff>
    </xdr:to>
    <xdr:pic macro="[0]!btnBusRentLeaseInfo_Click">
      <xdr:nvPicPr>
        <xdr:cNvPr id="339" name="Picture 338">
          <a:extLst>
            <a:ext uri="{FF2B5EF4-FFF2-40B4-BE49-F238E27FC236}">
              <a16:creationId xmlns:a16="http://schemas.microsoft.com/office/drawing/2014/main" id="{00000000-0008-0000-0000-000053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202795927"/>
          <a:ext cx="155448" cy="164592"/>
        </a:xfrm>
        <a:prstGeom prst="rect">
          <a:avLst/>
        </a:prstGeom>
      </xdr:spPr>
    </xdr:pic>
    <xdr:clientData/>
  </xdr:twoCellAnchor>
  <xdr:twoCellAnchor>
    <xdr:from>
      <xdr:col>13</xdr:col>
      <xdr:colOff>0</xdr:colOff>
      <xdr:row>697</xdr:row>
      <xdr:rowOff>0</xdr:rowOff>
    </xdr:from>
    <xdr:to>
      <xdr:col>14</xdr:col>
      <xdr:colOff>0</xdr:colOff>
      <xdr:row>698</xdr:row>
      <xdr:rowOff>0</xdr:rowOff>
    </xdr:to>
    <xdr:sp macro="" textlink="">
      <xdr:nvSpPr>
        <xdr:cNvPr id="340" name="Freeform 339">
          <a:extLst>
            <a:ext uri="{FF2B5EF4-FFF2-40B4-BE49-F238E27FC236}">
              <a16:creationId xmlns:a16="http://schemas.microsoft.com/office/drawing/2014/main" id="{00000000-0008-0000-0000-000054010000}"/>
            </a:ext>
          </a:extLst>
        </xdr:cNvPr>
        <xdr:cNvSpPr/>
      </xdr:nvSpPr>
      <xdr:spPr>
        <a:xfrm flipH="1">
          <a:off x="12230100" y="1487424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697</xdr:row>
      <xdr:rowOff>50321</xdr:rowOff>
    </xdr:from>
    <xdr:to>
      <xdr:col>12</xdr:col>
      <xdr:colOff>316301</xdr:colOff>
      <xdr:row>697</xdr:row>
      <xdr:rowOff>294736</xdr:rowOff>
    </xdr:to>
    <xdr:sp macro="[0]!btnPlusBusLeaseAreas_Click" textlink="">
      <xdr:nvSpPr>
        <xdr:cNvPr id="341" name="Plus 340">
          <a:extLst>
            <a:ext uri="{FF2B5EF4-FFF2-40B4-BE49-F238E27FC236}">
              <a16:creationId xmlns:a16="http://schemas.microsoft.com/office/drawing/2014/main" id="{00000000-0008-0000-0000-000055010000}"/>
            </a:ext>
          </a:extLst>
        </xdr:cNvPr>
        <xdr:cNvSpPr/>
      </xdr:nvSpPr>
      <xdr:spPr>
        <a:xfrm>
          <a:off x="11968611" y="1487927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697</xdr:row>
      <xdr:rowOff>43132</xdr:rowOff>
    </xdr:from>
    <xdr:to>
      <xdr:col>13</xdr:col>
      <xdr:colOff>287548</xdr:colOff>
      <xdr:row>697</xdr:row>
      <xdr:rowOff>301925</xdr:rowOff>
    </xdr:to>
    <xdr:sp macro="[0]!btnMinusBusLeaseAreas_Click" textlink="">
      <xdr:nvSpPr>
        <xdr:cNvPr id="342" name="Minus 341">
          <a:extLst>
            <a:ext uri="{FF2B5EF4-FFF2-40B4-BE49-F238E27FC236}">
              <a16:creationId xmlns:a16="http://schemas.microsoft.com/office/drawing/2014/main" id="{00000000-0008-0000-0000-000056010000}"/>
            </a:ext>
          </a:extLst>
        </xdr:cNvPr>
        <xdr:cNvSpPr/>
      </xdr:nvSpPr>
      <xdr:spPr>
        <a:xfrm>
          <a:off x="12258855" y="1487855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697</xdr:row>
      <xdr:rowOff>0</xdr:rowOff>
    </xdr:from>
    <xdr:to>
      <xdr:col>3</xdr:col>
      <xdr:colOff>0</xdr:colOff>
      <xdr:row>698</xdr:row>
      <xdr:rowOff>0</xdr:rowOff>
    </xdr:to>
    <xdr:sp macro="" textlink="">
      <xdr:nvSpPr>
        <xdr:cNvPr id="343" name="Freeform 342">
          <a:extLst>
            <a:ext uri="{FF2B5EF4-FFF2-40B4-BE49-F238E27FC236}">
              <a16:creationId xmlns:a16="http://schemas.microsoft.com/office/drawing/2014/main" id="{00000000-0008-0000-0000-000057010000}"/>
            </a:ext>
          </a:extLst>
        </xdr:cNvPr>
        <xdr:cNvSpPr/>
      </xdr:nvSpPr>
      <xdr:spPr>
        <a:xfrm>
          <a:off x="601598" y="1487424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701</xdr:row>
      <xdr:rowOff>91440</xdr:rowOff>
    </xdr:from>
    <xdr:to>
      <xdr:col>4</xdr:col>
      <xdr:colOff>759333</xdr:colOff>
      <xdr:row>701</xdr:row>
      <xdr:rowOff>256032</xdr:rowOff>
    </xdr:to>
    <xdr:pic macro="[0]!SetVF_Click">
      <xdr:nvPicPr>
        <xdr:cNvPr id="344" name="Picture 343">
          <a:extLst>
            <a:ext uri="{FF2B5EF4-FFF2-40B4-BE49-F238E27FC236}">
              <a16:creationId xmlns:a16="http://schemas.microsoft.com/office/drawing/2014/main" id="{00000000-0008-0000-0000-000058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49919690"/>
          <a:ext cx="155448" cy="164592"/>
        </a:xfrm>
        <a:prstGeom prst="rect">
          <a:avLst/>
        </a:prstGeom>
      </xdr:spPr>
    </xdr:pic>
    <xdr:clientData/>
  </xdr:twoCellAnchor>
  <xdr:twoCellAnchor>
    <xdr:from>
      <xdr:col>4</xdr:col>
      <xdr:colOff>1508760</xdr:colOff>
      <xdr:row>704</xdr:row>
      <xdr:rowOff>86994</xdr:rowOff>
    </xdr:from>
    <xdr:to>
      <xdr:col>4</xdr:col>
      <xdr:colOff>1664208</xdr:colOff>
      <xdr:row>704</xdr:row>
      <xdr:rowOff>251586</xdr:rowOff>
    </xdr:to>
    <xdr:pic macro="[0]!btnBusRentLeaseInfo_Click">
      <xdr:nvPicPr>
        <xdr:cNvPr id="345" name="Picture 344">
          <a:extLst>
            <a:ext uri="{FF2B5EF4-FFF2-40B4-BE49-F238E27FC236}">
              <a16:creationId xmlns:a16="http://schemas.microsoft.com/office/drawing/2014/main" id="{00000000-0008-0000-0000-000059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205234327"/>
          <a:ext cx="155448" cy="164592"/>
        </a:xfrm>
        <a:prstGeom prst="rect">
          <a:avLst/>
        </a:prstGeom>
      </xdr:spPr>
    </xdr:pic>
    <xdr:clientData/>
  </xdr:twoCellAnchor>
  <xdr:twoCellAnchor>
    <xdr:from>
      <xdr:col>13</xdr:col>
      <xdr:colOff>0</xdr:colOff>
      <xdr:row>706</xdr:row>
      <xdr:rowOff>0</xdr:rowOff>
    </xdr:from>
    <xdr:to>
      <xdr:col>14</xdr:col>
      <xdr:colOff>0</xdr:colOff>
      <xdr:row>707</xdr:row>
      <xdr:rowOff>0</xdr:rowOff>
    </xdr:to>
    <xdr:sp macro="" textlink="">
      <xdr:nvSpPr>
        <xdr:cNvPr id="346" name="Freeform 345">
          <a:extLst>
            <a:ext uri="{FF2B5EF4-FFF2-40B4-BE49-F238E27FC236}">
              <a16:creationId xmlns:a16="http://schemas.microsoft.com/office/drawing/2014/main" id="{00000000-0008-0000-0000-00005A010000}"/>
            </a:ext>
          </a:extLst>
        </xdr:cNvPr>
        <xdr:cNvSpPr/>
      </xdr:nvSpPr>
      <xdr:spPr>
        <a:xfrm flipH="1">
          <a:off x="12230100" y="15119985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706</xdr:row>
      <xdr:rowOff>50321</xdr:rowOff>
    </xdr:from>
    <xdr:to>
      <xdr:col>12</xdr:col>
      <xdr:colOff>316301</xdr:colOff>
      <xdr:row>706</xdr:row>
      <xdr:rowOff>294736</xdr:rowOff>
    </xdr:to>
    <xdr:sp macro="[0]!btnPlusBusLeaseAreas_Click" textlink="">
      <xdr:nvSpPr>
        <xdr:cNvPr id="347" name="Plus 346">
          <a:extLst>
            <a:ext uri="{FF2B5EF4-FFF2-40B4-BE49-F238E27FC236}">
              <a16:creationId xmlns:a16="http://schemas.microsoft.com/office/drawing/2014/main" id="{00000000-0008-0000-0000-00005B010000}"/>
            </a:ext>
          </a:extLst>
        </xdr:cNvPr>
        <xdr:cNvSpPr/>
      </xdr:nvSpPr>
      <xdr:spPr>
        <a:xfrm>
          <a:off x="11968611" y="15125017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706</xdr:row>
      <xdr:rowOff>43132</xdr:rowOff>
    </xdr:from>
    <xdr:to>
      <xdr:col>13</xdr:col>
      <xdr:colOff>287548</xdr:colOff>
      <xdr:row>706</xdr:row>
      <xdr:rowOff>301925</xdr:rowOff>
    </xdr:to>
    <xdr:sp macro="[0]!btnMinusBusLeaseAreas_Click" textlink="">
      <xdr:nvSpPr>
        <xdr:cNvPr id="348" name="Minus 347">
          <a:extLst>
            <a:ext uri="{FF2B5EF4-FFF2-40B4-BE49-F238E27FC236}">
              <a16:creationId xmlns:a16="http://schemas.microsoft.com/office/drawing/2014/main" id="{00000000-0008-0000-0000-00005C010000}"/>
            </a:ext>
          </a:extLst>
        </xdr:cNvPr>
        <xdr:cNvSpPr/>
      </xdr:nvSpPr>
      <xdr:spPr>
        <a:xfrm>
          <a:off x="12258855" y="15124298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706</xdr:row>
      <xdr:rowOff>0</xdr:rowOff>
    </xdr:from>
    <xdr:to>
      <xdr:col>3</xdr:col>
      <xdr:colOff>0</xdr:colOff>
      <xdr:row>707</xdr:row>
      <xdr:rowOff>0</xdr:rowOff>
    </xdr:to>
    <xdr:sp macro="" textlink="">
      <xdr:nvSpPr>
        <xdr:cNvPr id="349" name="Freeform 348">
          <a:extLst>
            <a:ext uri="{FF2B5EF4-FFF2-40B4-BE49-F238E27FC236}">
              <a16:creationId xmlns:a16="http://schemas.microsoft.com/office/drawing/2014/main" id="{00000000-0008-0000-0000-00005D010000}"/>
            </a:ext>
          </a:extLst>
        </xdr:cNvPr>
        <xdr:cNvSpPr/>
      </xdr:nvSpPr>
      <xdr:spPr>
        <a:xfrm>
          <a:off x="601598" y="15119985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710</xdr:row>
      <xdr:rowOff>91440</xdr:rowOff>
    </xdr:from>
    <xdr:to>
      <xdr:col>4</xdr:col>
      <xdr:colOff>759333</xdr:colOff>
      <xdr:row>710</xdr:row>
      <xdr:rowOff>256032</xdr:rowOff>
    </xdr:to>
    <xdr:pic macro="[0]!SetVF_Click">
      <xdr:nvPicPr>
        <xdr:cNvPr id="350" name="Picture 349">
          <a:extLst>
            <a:ext uri="{FF2B5EF4-FFF2-40B4-BE49-F238E27FC236}">
              <a16:creationId xmlns:a16="http://schemas.microsoft.com/office/drawing/2014/main" id="{00000000-0008-0000-0000-00005E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52377140"/>
          <a:ext cx="155448" cy="164592"/>
        </a:xfrm>
        <a:prstGeom prst="rect">
          <a:avLst/>
        </a:prstGeom>
      </xdr:spPr>
    </xdr:pic>
    <xdr:clientData/>
  </xdr:twoCellAnchor>
  <xdr:twoCellAnchor>
    <xdr:from>
      <xdr:col>4</xdr:col>
      <xdr:colOff>1508760</xdr:colOff>
      <xdr:row>713</xdr:row>
      <xdr:rowOff>86994</xdr:rowOff>
    </xdr:from>
    <xdr:to>
      <xdr:col>4</xdr:col>
      <xdr:colOff>1664208</xdr:colOff>
      <xdr:row>713</xdr:row>
      <xdr:rowOff>251586</xdr:rowOff>
    </xdr:to>
    <xdr:pic macro="[0]!btnBusRentLeaseInfo_Click">
      <xdr:nvPicPr>
        <xdr:cNvPr id="351" name="Picture 350">
          <a:extLst>
            <a:ext uri="{FF2B5EF4-FFF2-40B4-BE49-F238E27FC236}">
              <a16:creationId xmlns:a16="http://schemas.microsoft.com/office/drawing/2014/main" id="{00000000-0008-0000-0000-00005F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207672727"/>
          <a:ext cx="155448" cy="164592"/>
        </a:xfrm>
        <a:prstGeom prst="rect">
          <a:avLst/>
        </a:prstGeom>
      </xdr:spPr>
    </xdr:pic>
    <xdr:clientData/>
  </xdr:twoCellAnchor>
  <xdr:twoCellAnchor>
    <xdr:from>
      <xdr:col>13</xdr:col>
      <xdr:colOff>0</xdr:colOff>
      <xdr:row>715</xdr:row>
      <xdr:rowOff>0</xdr:rowOff>
    </xdr:from>
    <xdr:to>
      <xdr:col>14</xdr:col>
      <xdr:colOff>0</xdr:colOff>
      <xdr:row>716</xdr:row>
      <xdr:rowOff>0</xdr:rowOff>
    </xdr:to>
    <xdr:sp macro="" textlink="">
      <xdr:nvSpPr>
        <xdr:cNvPr id="352" name="Freeform 351">
          <a:extLst>
            <a:ext uri="{FF2B5EF4-FFF2-40B4-BE49-F238E27FC236}">
              <a16:creationId xmlns:a16="http://schemas.microsoft.com/office/drawing/2014/main" id="{00000000-0008-0000-0000-000060010000}"/>
            </a:ext>
          </a:extLst>
        </xdr:cNvPr>
        <xdr:cNvSpPr/>
      </xdr:nvSpPr>
      <xdr:spPr>
        <a:xfrm flipH="1">
          <a:off x="12230100" y="1536573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715</xdr:row>
      <xdr:rowOff>50321</xdr:rowOff>
    </xdr:from>
    <xdr:to>
      <xdr:col>12</xdr:col>
      <xdr:colOff>316301</xdr:colOff>
      <xdr:row>715</xdr:row>
      <xdr:rowOff>294736</xdr:rowOff>
    </xdr:to>
    <xdr:sp macro="[0]!btnPlusBusLeaseAreas_Click" textlink="">
      <xdr:nvSpPr>
        <xdr:cNvPr id="353" name="Plus 352">
          <a:extLst>
            <a:ext uri="{FF2B5EF4-FFF2-40B4-BE49-F238E27FC236}">
              <a16:creationId xmlns:a16="http://schemas.microsoft.com/office/drawing/2014/main" id="{00000000-0008-0000-0000-000061010000}"/>
            </a:ext>
          </a:extLst>
        </xdr:cNvPr>
        <xdr:cNvSpPr/>
      </xdr:nvSpPr>
      <xdr:spPr>
        <a:xfrm>
          <a:off x="11968611" y="1537076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715</xdr:row>
      <xdr:rowOff>43132</xdr:rowOff>
    </xdr:from>
    <xdr:to>
      <xdr:col>13</xdr:col>
      <xdr:colOff>287548</xdr:colOff>
      <xdr:row>715</xdr:row>
      <xdr:rowOff>301925</xdr:rowOff>
    </xdr:to>
    <xdr:sp macro="[0]!btnMinusBusLeaseAreas_Click" textlink="">
      <xdr:nvSpPr>
        <xdr:cNvPr id="354" name="Minus 353">
          <a:extLst>
            <a:ext uri="{FF2B5EF4-FFF2-40B4-BE49-F238E27FC236}">
              <a16:creationId xmlns:a16="http://schemas.microsoft.com/office/drawing/2014/main" id="{00000000-0008-0000-0000-000062010000}"/>
            </a:ext>
          </a:extLst>
        </xdr:cNvPr>
        <xdr:cNvSpPr/>
      </xdr:nvSpPr>
      <xdr:spPr>
        <a:xfrm>
          <a:off x="12258855" y="1537004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715</xdr:row>
      <xdr:rowOff>0</xdr:rowOff>
    </xdr:from>
    <xdr:to>
      <xdr:col>3</xdr:col>
      <xdr:colOff>0</xdr:colOff>
      <xdr:row>716</xdr:row>
      <xdr:rowOff>0</xdr:rowOff>
    </xdr:to>
    <xdr:sp macro="" textlink="">
      <xdr:nvSpPr>
        <xdr:cNvPr id="355" name="Freeform 354">
          <a:extLst>
            <a:ext uri="{FF2B5EF4-FFF2-40B4-BE49-F238E27FC236}">
              <a16:creationId xmlns:a16="http://schemas.microsoft.com/office/drawing/2014/main" id="{00000000-0008-0000-0000-000063010000}"/>
            </a:ext>
          </a:extLst>
        </xdr:cNvPr>
        <xdr:cNvSpPr/>
      </xdr:nvSpPr>
      <xdr:spPr>
        <a:xfrm>
          <a:off x="601598" y="1536573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603885</xdr:colOff>
      <xdr:row>719</xdr:row>
      <xdr:rowOff>91440</xdr:rowOff>
    </xdr:from>
    <xdr:to>
      <xdr:col>4</xdr:col>
      <xdr:colOff>759333</xdr:colOff>
      <xdr:row>719</xdr:row>
      <xdr:rowOff>256032</xdr:rowOff>
    </xdr:to>
    <xdr:pic macro="[0]!SetVF_Click">
      <xdr:nvPicPr>
        <xdr:cNvPr id="356" name="Picture 355">
          <a:extLst>
            <a:ext uri="{FF2B5EF4-FFF2-40B4-BE49-F238E27FC236}">
              <a16:creationId xmlns:a16="http://schemas.microsoft.com/office/drawing/2014/main" id="{00000000-0008-0000-0000-000064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4610" y="154834590"/>
          <a:ext cx="155448" cy="164592"/>
        </a:xfrm>
        <a:prstGeom prst="rect">
          <a:avLst/>
        </a:prstGeom>
      </xdr:spPr>
    </xdr:pic>
    <xdr:clientData/>
  </xdr:twoCellAnchor>
  <xdr:twoCellAnchor>
    <xdr:from>
      <xdr:col>4</xdr:col>
      <xdr:colOff>1508760</xdr:colOff>
      <xdr:row>722</xdr:row>
      <xdr:rowOff>86994</xdr:rowOff>
    </xdr:from>
    <xdr:to>
      <xdr:col>4</xdr:col>
      <xdr:colOff>1664208</xdr:colOff>
      <xdr:row>722</xdr:row>
      <xdr:rowOff>251586</xdr:rowOff>
    </xdr:to>
    <xdr:pic macro="[0]!btnBusRentLeaseInfo_Click">
      <xdr:nvPicPr>
        <xdr:cNvPr id="357" name="Picture 356">
          <a:extLst>
            <a:ext uri="{FF2B5EF4-FFF2-40B4-BE49-F238E27FC236}">
              <a16:creationId xmlns:a16="http://schemas.microsoft.com/office/drawing/2014/main" id="{00000000-0008-0000-0000-00006501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5293" y="210111127"/>
          <a:ext cx="155448" cy="164592"/>
        </a:xfrm>
        <a:prstGeom prst="rect">
          <a:avLst/>
        </a:prstGeom>
      </xdr:spPr>
    </xdr:pic>
    <xdr:clientData/>
  </xdr:twoCellAnchor>
  <xdr:twoCellAnchor>
    <xdr:from>
      <xdr:col>13</xdr:col>
      <xdr:colOff>0</xdr:colOff>
      <xdr:row>105</xdr:row>
      <xdr:rowOff>0</xdr:rowOff>
    </xdr:from>
    <xdr:to>
      <xdr:col>14</xdr:col>
      <xdr:colOff>0</xdr:colOff>
      <xdr:row>106</xdr:row>
      <xdr:rowOff>0</xdr:rowOff>
    </xdr:to>
    <xdr:sp macro="" textlink="">
      <xdr:nvSpPr>
        <xdr:cNvPr id="358" name="Freeform 357">
          <a:extLst>
            <a:ext uri="{FF2B5EF4-FFF2-40B4-BE49-F238E27FC236}">
              <a16:creationId xmlns:a16="http://schemas.microsoft.com/office/drawing/2014/main" id="{00000000-0008-0000-0000-000066010000}"/>
            </a:ext>
          </a:extLst>
        </xdr:cNvPr>
        <xdr:cNvSpPr/>
      </xdr:nvSpPr>
      <xdr:spPr>
        <a:xfrm flipH="1">
          <a:off x="12134850" y="56769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105</xdr:row>
      <xdr:rowOff>50321</xdr:rowOff>
    </xdr:from>
    <xdr:to>
      <xdr:col>12</xdr:col>
      <xdr:colOff>316301</xdr:colOff>
      <xdr:row>105</xdr:row>
      <xdr:rowOff>294736</xdr:rowOff>
    </xdr:to>
    <xdr:sp macro="[0]!btnPlusInvSchEAreas_Click" textlink="">
      <xdr:nvSpPr>
        <xdr:cNvPr id="359" name="Plus 358">
          <a:extLst>
            <a:ext uri="{FF2B5EF4-FFF2-40B4-BE49-F238E27FC236}">
              <a16:creationId xmlns:a16="http://schemas.microsoft.com/office/drawing/2014/main" id="{00000000-0008-0000-0000-000067010000}"/>
            </a:ext>
          </a:extLst>
        </xdr:cNvPr>
        <xdr:cNvSpPr/>
      </xdr:nvSpPr>
      <xdr:spPr>
        <a:xfrm>
          <a:off x="11873361" y="57272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105</xdr:row>
      <xdr:rowOff>43132</xdr:rowOff>
    </xdr:from>
    <xdr:to>
      <xdr:col>13</xdr:col>
      <xdr:colOff>287548</xdr:colOff>
      <xdr:row>105</xdr:row>
      <xdr:rowOff>301925</xdr:rowOff>
    </xdr:to>
    <xdr:sp macro="[0]!btnMinusInvSchEAreas_Click" textlink="">
      <xdr:nvSpPr>
        <xdr:cNvPr id="360" name="Minus 359">
          <a:extLst>
            <a:ext uri="{FF2B5EF4-FFF2-40B4-BE49-F238E27FC236}">
              <a16:creationId xmlns:a16="http://schemas.microsoft.com/office/drawing/2014/main" id="{00000000-0008-0000-0000-000068010000}"/>
            </a:ext>
          </a:extLst>
        </xdr:cNvPr>
        <xdr:cNvSpPr/>
      </xdr:nvSpPr>
      <xdr:spPr>
        <a:xfrm>
          <a:off x="12163605" y="57200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105</xdr:row>
      <xdr:rowOff>0</xdr:rowOff>
    </xdr:from>
    <xdr:to>
      <xdr:col>3</xdr:col>
      <xdr:colOff>0</xdr:colOff>
      <xdr:row>106</xdr:row>
      <xdr:rowOff>0</xdr:rowOff>
    </xdr:to>
    <xdr:sp macro="" textlink="">
      <xdr:nvSpPr>
        <xdr:cNvPr id="361" name="Freeform 360">
          <a:extLst>
            <a:ext uri="{FF2B5EF4-FFF2-40B4-BE49-F238E27FC236}">
              <a16:creationId xmlns:a16="http://schemas.microsoft.com/office/drawing/2014/main" id="{00000000-0008-0000-0000-000069010000}"/>
            </a:ext>
          </a:extLst>
        </xdr:cNvPr>
        <xdr:cNvSpPr/>
      </xdr:nvSpPr>
      <xdr:spPr>
        <a:xfrm>
          <a:off x="506348" y="56769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122</xdr:row>
      <xdr:rowOff>0</xdr:rowOff>
    </xdr:from>
    <xdr:to>
      <xdr:col>14</xdr:col>
      <xdr:colOff>0</xdr:colOff>
      <xdr:row>123</xdr:row>
      <xdr:rowOff>0</xdr:rowOff>
    </xdr:to>
    <xdr:sp macro="" textlink="">
      <xdr:nvSpPr>
        <xdr:cNvPr id="363" name="Freeform 362">
          <a:extLst>
            <a:ext uri="{FF2B5EF4-FFF2-40B4-BE49-F238E27FC236}">
              <a16:creationId xmlns:a16="http://schemas.microsoft.com/office/drawing/2014/main" id="{00000000-0008-0000-0000-00006B010000}"/>
            </a:ext>
          </a:extLst>
        </xdr:cNvPr>
        <xdr:cNvSpPr/>
      </xdr:nvSpPr>
      <xdr:spPr>
        <a:xfrm flipH="1">
          <a:off x="12134850" y="108966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122</xdr:row>
      <xdr:rowOff>50321</xdr:rowOff>
    </xdr:from>
    <xdr:to>
      <xdr:col>12</xdr:col>
      <xdr:colOff>316301</xdr:colOff>
      <xdr:row>122</xdr:row>
      <xdr:rowOff>294736</xdr:rowOff>
    </xdr:to>
    <xdr:sp macro="[0]!btnPlusInvSchEAreas_Click" textlink="">
      <xdr:nvSpPr>
        <xdr:cNvPr id="364" name="Plus 363">
          <a:extLst>
            <a:ext uri="{FF2B5EF4-FFF2-40B4-BE49-F238E27FC236}">
              <a16:creationId xmlns:a16="http://schemas.microsoft.com/office/drawing/2014/main" id="{00000000-0008-0000-0000-00006C010000}"/>
            </a:ext>
          </a:extLst>
        </xdr:cNvPr>
        <xdr:cNvSpPr/>
      </xdr:nvSpPr>
      <xdr:spPr>
        <a:xfrm>
          <a:off x="11873361" y="109469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122</xdr:row>
      <xdr:rowOff>43132</xdr:rowOff>
    </xdr:from>
    <xdr:to>
      <xdr:col>13</xdr:col>
      <xdr:colOff>287548</xdr:colOff>
      <xdr:row>122</xdr:row>
      <xdr:rowOff>301925</xdr:rowOff>
    </xdr:to>
    <xdr:sp macro="[0]!btnMinusInvSchEAreas_Click" textlink="">
      <xdr:nvSpPr>
        <xdr:cNvPr id="365" name="Minus 364">
          <a:extLst>
            <a:ext uri="{FF2B5EF4-FFF2-40B4-BE49-F238E27FC236}">
              <a16:creationId xmlns:a16="http://schemas.microsoft.com/office/drawing/2014/main" id="{00000000-0008-0000-0000-00006D010000}"/>
            </a:ext>
          </a:extLst>
        </xdr:cNvPr>
        <xdr:cNvSpPr/>
      </xdr:nvSpPr>
      <xdr:spPr>
        <a:xfrm>
          <a:off x="12163605" y="109397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122</xdr:row>
      <xdr:rowOff>0</xdr:rowOff>
    </xdr:from>
    <xdr:to>
      <xdr:col>3</xdr:col>
      <xdr:colOff>0</xdr:colOff>
      <xdr:row>123</xdr:row>
      <xdr:rowOff>0</xdr:rowOff>
    </xdr:to>
    <xdr:sp macro="" textlink="">
      <xdr:nvSpPr>
        <xdr:cNvPr id="366" name="Freeform 365">
          <a:extLst>
            <a:ext uri="{FF2B5EF4-FFF2-40B4-BE49-F238E27FC236}">
              <a16:creationId xmlns:a16="http://schemas.microsoft.com/office/drawing/2014/main" id="{00000000-0008-0000-0000-00006E010000}"/>
            </a:ext>
          </a:extLst>
        </xdr:cNvPr>
        <xdr:cNvSpPr/>
      </xdr:nvSpPr>
      <xdr:spPr>
        <a:xfrm>
          <a:off x="506348" y="108966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139</xdr:row>
      <xdr:rowOff>0</xdr:rowOff>
    </xdr:from>
    <xdr:to>
      <xdr:col>14</xdr:col>
      <xdr:colOff>0</xdr:colOff>
      <xdr:row>140</xdr:row>
      <xdr:rowOff>0</xdr:rowOff>
    </xdr:to>
    <xdr:sp macro="" textlink="">
      <xdr:nvSpPr>
        <xdr:cNvPr id="368" name="Freeform 367">
          <a:extLst>
            <a:ext uri="{FF2B5EF4-FFF2-40B4-BE49-F238E27FC236}">
              <a16:creationId xmlns:a16="http://schemas.microsoft.com/office/drawing/2014/main" id="{00000000-0008-0000-0000-000070010000}"/>
            </a:ext>
          </a:extLst>
        </xdr:cNvPr>
        <xdr:cNvSpPr/>
      </xdr:nvSpPr>
      <xdr:spPr>
        <a:xfrm flipH="1">
          <a:off x="12134850" y="161163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139</xdr:row>
      <xdr:rowOff>50321</xdr:rowOff>
    </xdr:from>
    <xdr:to>
      <xdr:col>12</xdr:col>
      <xdr:colOff>316301</xdr:colOff>
      <xdr:row>139</xdr:row>
      <xdr:rowOff>294736</xdr:rowOff>
    </xdr:to>
    <xdr:sp macro="[0]!btnPlusInvSchEAreas_Click" textlink="">
      <xdr:nvSpPr>
        <xdr:cNvPr id="369" name="Plus 368">
          <a:extLst>
            <a:ext uri="{FF2B5EF4-FFF2-40B4-BE49-F238E27FC236}">
              <a16:creationId xmlns:a16="http://schemas.microsoft.com/office/drawing/2014/main" id="{00000000-0008-0000-0000-000071010000}"/>
            </a:ext>
          </a:extLst>
        </xdr:cNvPr>
        <xdr:cNvSpPr/>
      </xdr:nvSpPr>
      <xdr:spPr>
        <a:xfrm>
          <a:off x="11873361" y="161666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139</xdr:row>
      <xdr:rowOff>43132</xdr:rowOff>
    </xdr:from>
    <xdr:to>
      <xdr:col>13</xdr:col>
      <xdr:colOff>287548</xdr:colOff>
      <xdr:row>139</xdr:row>
      <xdr:rowOff>301925</xdr:rowOff>
    </xdr:to>
    <xdr:sp macro="[0]!btnMinusInvSchEAreas_Click" textlink="">
      <xdr:nvSpPr>
        <xdr:cNvPr id="370" name="Minus 369">
          <a:extLst>
            <a:ext uri="{FF2B5EF4-FFF2-40B4-BE49-F238E27FC236}">
              <a16:creationId xmlns:a16="http://schemas.microsoft.com/office/drawing/2014/main" id="{00000000-0008-0000-0000-000072010000}"/>
            </a:ext>
          </a:extLst>
        </xdr:cNvPr>
        <xdr:cNvSpPr/>
      </xdr:nvSpPr>
      <xdr:spPr>
        <a:xfrm>
          <a:off x="12163605" y="161594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139</xdr:row>
      <xdr:rowOff>0</xdr:rowOff>
    </xdr:from>
    <xdr:to>
      <xdr:col>3</xdr:col>
      <xdr:colOff>0</xdr:colOff>
      <xdr:row>140</xdr:row>
      <xdr:rowOff>0</xdr:rowOff>
    </xdr:to>
    <xdr:sp macro="" textlink="">
      <xdr:nvSpPr>
        <xdr:cNvPr id="371" name="Freeform 370">
          <a:extLst>
            <a:ext uri="{FF2B5EF4-FFF2-40B4-BE49-F238E27FC236}">
              <a16:creationId xmlns:a16="http://schemas.microsoft.com/office/drawing/2014/main" id="{00000000-0008-0000-0000-000073010000}"/>
            </a:ext>
          </a:extLst>
        </xdr:cNvPr>
        <xdr:cNvSpPr/>
      </xdr:nvSpPr>
      <xdr:spPr>
        <a:xfrm>
          <a:off x="506348" y="161163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156</xdr:row>
      <xdr:rowOff>0</xdr:rowOff>
    </xdr:from>
    <xdr:to>
      <xdr:col>14</xdr:col>
      <xdr:colOff>0</xdr:colOff>
      <xdr:row>157</xdr:row>
      <xdr:rowOff>0</xdr:rowOff>
    </xdr:to>
    <xdr:sp macro="" textlink="">
      <xdr:nvSpPr>
        <xdr:cNvPr id="373" name="Freeform 372">
          <a:extLst>
            <a:ext uri="{FF2B5EF4-FFF2-40B4-BE49-F238E27FC236}">
              <a16:creationId xmlns:a16="http://schemas.microsoft.com/office/drawing/2014/main" id="{00000000-0008-0000-0000-000075010000}"/>
            </a:ext>
          </a:extLst>
        </xdr:cNvPr>
        <xdr:cNvSpPr/>
      </xdr:nvSpPr>
      <xdr:spPr>
        <a:xfrm flipH="1">
          <a:off x="12134850" y="213360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156</xdr:row>
      <xdr:rowOff>50321</xdr:rowOff>
    </xdr:from>
    <xdr:to>
      <xdr:col>12</xdr:col>
      <xdr:colOff>316301</xdr:colOff>
      <xdr:row>156</xdr:row>
      <xdr:rowOff>294736</xdr:rowOff>
    </xdr:to>
    <xdr:sp macro="[0]!btnPlusInvSchEAreas_Click" textlink="">
      <xdr:nvSpPr>
        <xdr:cNvPr id="374" name="Plus 373">
          <a:extLst>
            <a:ext uri="{FF2B5EF4-FFF2-40B4-BE49-F238E27FC236}">
              <a16:creationId xmlns:a16="http://schemas.microsoft.com/office/drawing/2014/main" id="{00000000-0008-0000-0000-000076010000}"/>
            </a:ext>
          </a:extLst>
        </xdr:cNvPr>
        <xdr:cNvSpPr/>
      </xdr:nvSpPr>
      <xdr:spPr>
        <a:xfrm>
          <a:off x="11873361" y="213863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156</xdr:row>
      <xdr:rowOff>43132</xdr:rowOff>
    </xdr:from>
    <xdr:to>
      <xdr:col>13</xdr:col>
      <xdr:colOff>287548</xdr:colOff>
      <xdr:row>156</xdr:row>
      <xdr:rowOff>301925</xdr:rowOff>
    </xdr:to>
    <xdr:sp macro="[0]!btnMinusInvSchEAreas_Click" textlink="">
      <xdr:nvSpPr>
        <xdr:cNvPr id="375" name="Minus 374">
          <a:extLst>
            <a:ext uri="{FF2B5EF4-FFF2-40B4-BE49-F238E27FC236}">
              <a16:creationId xmlns:a16="http://schemas.microsoft.com/office/drawing/2014/main" id="{00000000-0008-0000-0000-000077010000}"/>
            </a:ext>
          </a:extLst>
        </xdr:cNvPr>
        <xdr:cNvSpPr/>
      </xdr:nvSpPr>
      <xdr:spPr>
        <a:xfrm>
          <a:off x="12163605" y="213791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156</xdr:row>
      <xdr:rowOff>0</xdr:rowOff>
    </xdr:from>
    <xdr:to>
      <xdr:col>3</xdr:col>
      <xdr:colOff>0</xdr:colOff>
      <xdr:row>157</xdr:row>
      <xdr:rowOff>0</xdr:rowOff>
    </xdr:to>
    <xdr:sp macro="" textlink="">
      <xdr:nvSpPr>
        <xdr:cNvPr id="376" name="Freeform 375">
          <a:extLst>
            <a:ext uri="{FF2B5EF4-FFF2-40B4-BE49-F238E27FC236}">
              <a16:creationId xmlns:a16="http://schemas.microsoft.com/office/drawing/2014/main" id="{00000000-0008-0000-0000-000078010000}"/>
            </a:ext>
          </a:extLst>
        </xdr:cNvPr>
        <xdr:cNvSpPr/>
      </xdr:nvSpPr>
      <xdr:spPr>
        <a:xfrm>
          <a:off x="506348" y="213360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173</xdr:row>
      <xdr:rowOff>0</xdr:rowOff>
    </xdr:from>
    <xdr:to>
      <xdr:col>14</xdr:col>
      <xdr:colOff>0</xdr:colOff>
      <xdr:row>174</xdr:row>
      <xdr:rowOff>0</xdr:rowOff>
    </xdr:to>
    <xdr:sp macro="" textlink="">
      <xdr:nvSpPr>
        <xdr:cNvPr id="378" name="Freeform 377">
          <a:extLst>
            <a:ext uri="{FF2B5EF4-FFF2-40B4-BE49-F238E27FC236}">
              <a16:creationId xmlns:a16="http://schemas.microsoft.com/office/drawing/2014/main" id="{00000000-0008-0000-0000-00007A010000}"/>
            </a:ext>
          </a:extLst>
        </xdr:cNvPr>
        <xdr:cNvSpPr/>
      </xdr:nvSpPr>
      <xdr:spPr>
        <a:xfrm flipH="1">
          <a:off x="12134850" y="265557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173</xdr:row>
      <xdr:rowOff>50321</xdr:rowOff>
    </xdr:from>
    <xdr:to>
      <xdr:col>12</xdr:col>
      <xdr:colOff>316301</xdr:colOff>
      <xdr:row>173</xdr:row>
      <xdr:rowOff>294736</xdr:rowOff>
    </xdr:to>
    <xdr:sp macro="[0]!btnPlusInvSchEAreas_Click" textlink="">
      <xdr:nvSpPr>
        <xdr:cNvPr id="379" name="Plus 378">
          <a:extLst>
            <a:ext uri="{FF2B5EF4-FFF2-40B4-BE49-F238E27FC236}">
              <a16:creationId xmlns:a16="http://schemas.microsoft.com/office/drawing/2014/main" id="{00000000-0008-0000-0000-00007B010000}"/>
            </a:ext>
          </a:extLst>
        </xdr:cNvPr>
        <xdr:cNvSpPr/>
      </xdr:nvSpPr>
      <xdr:spPr>
        <a:xfrm>
          <a:off x="11873361" y="266060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173</xdr:row>
      <xdr:rowOff>43132</xdr:rowOff>
    </xdr:from>
    <xdr:to>
      <xdr:col>13</xdr:col>
      <xdr:colOff>287548</xdr:colOff>
      <xdr:row>173</xdr:row>
      <xdr:rowOff>301925</xdr:rowOff>
    </xdr:to>
    <xdr:sp macro="[0]!btnMinusInvSchEAreas_Click" textlink="">
      <xdr:nvSpPr>
        <xdr:cNvPr id="380" name="Minus 379">
          <a:extLst>
            <a:ext uri="{FF2B5EF4-FFF2-40B4-BE49-F238E27FC236}">
              <a16:creationId xmlns:a16="http://schemas.microsoft.com/office/drawing/2014/main" id="{00000000-0008-0000-0000-00007C010000}"/>
            </a:ext>
          </a:extLst>
        </xdr:cNvPr>
        <xdr:cNvSpPr/>
      </xdr:nvSpPr>
      <xdr:spPr>
        <a:xfrm>
          <a:off x="12163605" y="265988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173</xdr:row>
      <xdr:rowOff>0</xdr:rowOff>
    </xdr:from>
    <xdr:to>
      <xdr:col>3</xdr:col>
      <xdr:colOff>0</xdr:colOff>
      <xdr:row>174</xdr:row>
      <xdr:rowOff>0</xdr:rowOff>
    </xdr:to>
    <xdr:sp macro="" textlink="">
      <xdr:nvSpPr>
        <xdr:cNvPr id="381" name="Freeform 380">
          <a:extLst>
            <a:ext uri="{FF2B5EF4-FFF2-40B4-BE49-F238E27FC236}">
              <a16:creationId xmlns:a16="http://schemas.microsoft.com/office/drawing/2014/main" id="{00000000-0008-0000-0000-00007D010000}"/>
            </a:ext>
          </a:extLst>
        </xdr:cNvPr>
        <xdr:cNvSpPr/>
      </xdr:nvSpPr>
      <xdr:spPr>
        <a:xfrm>
          <a:off x="506348" y="265557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190</xdr:row>
      <xdr:rowOff>0</xdr:rowOff>
    </xdr:from>
    <xdr:to>
      <xdr:col>14</xdr:col>
      <xdr:colOff>0</xdr:colOff>
      <xdr:row>191</xdr:row>
      <xdr:rowOff>0</xdr:rowOff>
    </xdr:to>
    <xdr:sp macro="" textlink="">
      <xdr:nvSpPr>
        <xdr:cNvPr id="383" name="Freeform 382">
          <a:extLst>
            <a:ext uri="{FF2B5EF4-FFF2-40B4-BE49-F238E27FC236}">
              <a16:creationId xmlns:a16="http://schemas.microsoft.com/office/drawing/2014/main" id="{00000000-0008-0000-0000-00007F010000}"/>
            </a:ext>
          </a:extLst>
        </xdr:cNvPr>
        <xdr:cNvSpPr/>
      </xdr:nvSpPr>
      <xdr:spPr>
        <a:xfrm flipH="1">
          <a:off x="12134850" y="317754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190</xdr:row>
      <xdr:rowOff>50321</xdr:rowOff>
    </xdr:from>
    <xdr:to>
      <xdr:col>12</xdr:col>
      <xdr:colOff>316301</xdr:colOff>
      <xdr:row>190</xdr:row>
      <xdr:rowOff>294736</xdr:rowOff>
    </xdr:to>
    <xdr:sp macro="[0]!btnPlusInvSchEAreas_Click" textlink="">
      <xdr:nvSpPr>
        <xdr:cNvPr id="384" name="Plus 383">
          <a:extLst>
            <a:ext uri="{FF2B5EF4-FFF2-40B4-BE49-F238E27FC236}">
              <a16:creationId xmlns:a16="http://schemas.microsoft.com/office/drawing/2014/main" id="{00000000-0008-0000-0000-000080010000}"/>
            </a:ext>
          </a:extLst>
        </xdr:cNvPr>
        <xdr:cNvSpPr/>
      </xdr:nvSpPr>
      <xdr:spPr>
        <a:xfrm>
          <a:off x="11873361" y="318257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190</xdr:row>
      <xdr:rowOff>43132</xdr:rowOff>
    </xdr:from>
    <xdr:to>
      <xdr:col>13</xdr:col>
      <xdr:colOff>287548</xdr:colOff>
      <xdr:row>190</xdr:row>
      <xdr:rowOff>301925</xdr:rowOff>
    </xdr:to>
    <xdr:sp macro="[0]!btnMinusInvSchEAreas_Click" textlink="">
      <xdr:nvSpPr>
        <xdr:cNvPr id="385" name="Minus 384">
          <a:extLst>
            <a:ext uri="{FF2B5EF4-FFF2-40B4-BE49-F238E27FC236}">
              <a16:creationId xmlns:a16="http://schemas.microsoft.com/office/drawing/2014/main" id="{00000000-0008-0000-0000-000081010000}"/>
            </a:ext>
          </a:extLst>
        </xdr:cNvPr>
        <xdr:cNvSpPr/>
      </xdr:nvSpPr>
      <xdr:spPr>
        <a:xfrm>
          <a:off x="12163605" y="318185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190</xdr:row>
      <xdr:rowOff>0</xdr:rowOff>
    </xdr:from>
    <xdr:to>
      <xdr:col>3</xdr:col>
      <xdr:colOff>0</xdr:colOff>
      <xdr:row>191</xdr:row>
      <xdr:rowOff>0</xdr:rowOff>
    </xdr:to>
    <xdr:sp macro="" textlink="">
      <xdr:nvSpPr>
        <xdr:cNvPr id="386" name="Freeform 385">
          <a:extLst>
            <a:ext uri="{FF2B5EF4-FFF2-40B4-BE49-F238E27FC236}">
              <a16:creationId xmlns:a16="http://schemas.microsoft.com/office/drawing/2014/main" id="{00000000-0008-0000-0000-000082010000}"/>
            </a:ext>
          </a:extLst>
        </xdr:cNvPr>
        <xdr:cNvSpPr/>
      </xdr:nvSpPr>
      <xdr:spPr>
        <a:xfrm>
          <a:off x="506348" y="317754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207</xdr:row>
      <xdr:rowOff>0</xdr:rowOff>
    </xdr:from>
    <xdr:to>
      <xdr:col>14</xdr:col>
      <xdr:colOff>0</xdr:colOff>
      <xdr:row>208</xdr:row>
      <xdr:rowOff>0</xdr:rowOff>
    </xdr:to>
    <xdr:sp macro="" textlink="">
      <xdr:nvSpPr>
        <xdr:cNvPr id="388" name="Freeform 387">
          <a:extLst>
            <a:ext uri="{FF2B5EF4-FFF2-40B4-BE49-F238E27FC236}">
              <a16:creationId xmlns:a16="http://schemas.microsoft.com/office/drawing/2014/main" id="{00000000-0008-0000-0000-000084010000}"/>
            </a:ext>
          </a:extLst>
        </xdr:cNvPr>
        <xdr:cNvSpPr/>
      </xdr:nvSpPr>
      <xdr:spPr>
        <a:xfrm flipH="1">
          <a:off x="12134850" y="369951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207</xdr:row>
      <xdr:rowOff>50321</xdr:rowOff>
    </xdr:from>
    <xdr:to>
      <xdr:col>12</xdr:col>
      <xdr:colOff>316301</xdr:colOff>
      <xdr:row>207</xdr:row>
      <xdr:rowOff>294736</xdr:rowOff>
    </xdr:to>
    <xdr:sp macro="[0]!btnPlusInvSchEAreas_Click" textlink="">
      <xdr:nvSpPr>
        <xdr:cNvPr id="389" name="Plus 388">
          <a:extLst>
            <a:ext uri="{FF2B5EF4-FFF2-40B4-BE49-F238E27FC236}">
              <a16:creationId xmlns:a16="http://schemas.microsoft.com/office/drawing/2014/main" id="{00000000-0008-0000-0000-000085010000}"/>
            </a:ext>
          </a:extLst>
        </xdr:cNvPr>
        <xdr:cNvSpPr/>
      </xdr:nvSpPr>
      <xdr:spPr>
        <a:xfrm>
          <a:off x="11873361" y="370454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207</xdr:row>
      <xdr:rowOff>43132</xdr:rowOff>
    </xdr:from>
    <xdr:to>
      <xdr:col>13</xdr:col>
      <xdr:colOff>287548</xdr:colOff>
      <xdr:row>207</xdr:row>
      <xdr:rowOff>301925</xdr:rowOff>
    </xdr:to>
    <xdr:sp macro="[0]!btnMinusInvSchEAreas_Click" textlink="">
      <xdr:nvSpPr>
        <xdr:cNvPr id="390" name="Minus 389">
          <a:extLst>
            <a:ext uri="{FF2B5EF4-FFF2-40B4-BE49-F238E27FC236}">
              <a16:creationId xmlns:a16="http://schemas.microsoft.com/office/drawing/2014/main" id="{00000000-0008-0000-0000-000086010000}"/>
            </a:ext>
          </a:extLst>
        </xdr:cNvPr>
        <xdr:cNvSpPr/>
      </xdr:nvSpPr>
      <xdr:spPr>
        <a:xfrm>
          <a:off x="12163605" y="370382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207</xdr:row>
      <xdr:rowOff>0</xdr:rowOff>
    </xdr:from>
    <xdr:to>
      <xdr:col>3</xdr:col>
      <xdr:colOff>0</xdr:colOff>
      <xdr:row>208</xdr:row>
      <xdr:rowOff>0</xdr:rowOff>
    </xdr:to>
    <xdr:sp macro="" textlink="">
      <xdr:nvSpPr>
        <xdr:cNvPr id="391" name="Freeform 390">
          <a:extLst>
            <a:ext uri="{FF2B5EF4-FFF2-40B4-BE49-F238E27FC236}">
              <a16:creationId xmlns:a16="http://schemas.microsoft.com/office/drawing/2014/main" id="{00000000-0008-0000-0000-000087010000}"/>
            </a:ext>
          </a:extLst>
        </xdr:cNvPr>
        <xdr:cNvSpPr/>
      </xdr:nvSpPr>
      <xdr:spPr>
        <a:xfrm>
          <a:off x="506348" y="369951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224</xdr:row>
      <xdr:rowOff>0</xdr:rowOff>
    </xdr:from>
    <xdr:to>
      <xdr:col>14</xdr:col>
      <xdr:colOff>0</xdr:colOff>
      <xdr:row>225</xdr:row>
      <xdr:rowOff>0</xdr:rowOff>
    </xdr:to>
    <xdr:sp macro="" textlink="">
      <xdr:nvSpPr>
        <xdr:cNvPr id="393" name="Freeform 392">
          <a:extLst>
            <a:ext uri="{FF2B5EF4-FFF2-40B4-BE49-F238E27FC236}">
              <a16:creationId xmlns:a16="http://schemas.microsoft.com/office/drawing/2014/main" id="{00000000-0008-0000-0000-000089010000}"/>
            </a:ext>
          </a:extLst>
        </xdr:cNvPr>
        <xdr:cNvSpPr/>
      </xdr:nvSpPr>
      <xdr:spPr>
        <a:xfrm flipH="1">
          <a:off x="12134850" y="422148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224</xdr:row>
      <xdr:rowOff>50321</xdr:rowOff>
    </xdr:from>
    <xdr:to>
      <xdr:col>12</xdr:col>
      <xdr:colOff>316301</xdr:colOff>
      <xdr:row>224</xdr:row>
      <xdr:rowOff>294736</xdr:rowOff>
    </xdr:to>
    <xdr:sp macro="[0]!btnPlusInvSchEAreas_Click" textlink="">
      <xdr:nvSpPr>
        <xdr:cNvPr id="394" name="Plus 393">
          <a:extLst>
            <a:ext uri="{FF2B5EF4-FFF2-40B4-BE49-F238E27FC236}">
              <a16:creationId xmlns:a16="http://schemas.microsoft.com/office/drawing/2014/main" id="{00000000-0008-0000-0000-00008A010000}"/>
            </a:ext>
          </a:extLst>
        </xdr:cNvPr>
        <xdr:cNvSpPr/>
      </xdr:nvSpPr>
      <xdr:spPr>
        <a:xfrm>
          <a:off x="11873361" y="422651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224</xdr:row>
      <xdr:rowOff>43132</xdr:rowOff>
    </xdr:from>
    <xdr:to>
      <xdr:col>13</xdr:col>
      <xdr:colOff>287548</xdr:colOff>
      <xdr:row>224</xdr:row>
      <xdr:rowOff>301925</xdr:rowOff>
    </xdr:to>
    <xdr:sp macro="[0]!btnMinusInvSchEAreas_Click" textlink="">
      <xdr:nvSpPr>
        <xdr:cNvPr id="395" name="Minus 394">
          <a:extLst>
            <a:ext uri="{FF2B5EF4-FFF2-40B4-BE49-F238E27FC236}">
              <a16:creationId xmlns:a16="http://schemas.microsoft.com/office/drawing/2014/main" id="{00000000-0008-0000-0000-00008B010000}"/>
            </a:ext>
          </a:extLst>
        </xdr:cNvPr>
        <xdr:cNvSpPr/>
      </xdr:nvSpPr>
      <xdr:spPr>
        <a:xfrm>
          <a:off x="12163605" y="422579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224</xdr:row>
      <xdr:rowOff>0</xdr:rowOff>
    </xdr:from>
    <xdr:to>
      <xdr:col>3</xdr:col>
      <xdr:colOff>0</xdr:colOff>
      <xdr:row>225</xdr:row>
      <xdr:rowOff>0</xdr:rowOff>
    </xdr:to>
    <xdr:sp macro="" textlink="">
      <xdr:nvSpPr>
        <xdr:cNvPr id="396" name="Freeform 395">
          <a:extLst>
            <a:ext uri="{FF2B5EF4-FFF2-40B4-BE49-F238E27FC236}">
              <a16:creationId xmlns:a16="http://schemas.microsoft.com/office/drawing/2014/main" id="{00000000-0008-0000-0000-00008C010000}"/>
            </a:ext>
          </a:extLst>
        </xdr:cNvPr>
        <xdr:cNvSpPr/>
      </xdr:nvSpPr>
      <xdr:spPr>
        <a:xfrm>
          <a:off x="506348" y="422148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241</xdr:row>
      <xdr:rowOff>0</xdr:rowOff>
    </xdr:from>
    <xdr:to>
      <xdr:col>14</xdr:col>
      <xdr:colOff>0</xdr:colOff>
      <xdr:row>242</xdr:row>
      <xdr:rowOff>0</xdr:rowOff>
    </xdr:to>
    <xdr:sp macro="" textlink="">
      <xdr:nvSpPr>
        <xdr:cNvPr id="398" name="Freeform 397">
          <a:extLst>
            <a:ext uri="{FF2B5EF4-FFF2-40B4-BE49-F238E27FC236}">
              <a16:creationId xmlns:a16="http://schemas.microsoft.com/office/drawing/2014/main" id="{00000000-0008-0000-0000-00008E010000}"/>
            </a:ext>
          </a:extLst>
        </xdr:cNvPr>
        <xdr:cNvSpPr/>
      </xdr:nvSpPr>
      <xdr:spPr>
        <a:xfrm flipH="1">
          <a:off x="12134850" y="474345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241</xdr:row>
      <xdr:rowOff>50321</xdr:rowOff>
    </xdr:from>
    <xdr:to>
      <xdr:col>12</xdr:col>
      <xdr:colOff>316301</xdr:colOff>
      <xdr:row>241</xdr:row>
      <xdr:rowOff>294736</xdr:rowOff>
    </xdr:to>
    <xdr:sp macro="[0]!btnPlusInvSchEAreas_Click" textlink="">
      <xdr:nvSpPr>
        <xdr:cNvPr id="399" name="Plus 398">
          <a:extLst>
            <a:ext uri="{FF2B5EF4-FFF2-40B4-BE49-F238E27FC236}">
              <a16:creationId xmlns:a16="http://schemas.microsoft.com/office/drawing/2014/main" id="{00000000-0008-0000-0000-00008F010000}"/>
            </a:ext>
          </a:extLst>
        </xdr:cNvPr>
        <xdr:cNvSpPr/>
      </xdr:nvSpPr>
      <xdr:spPr>
        <a:xfrm>
          <a:off x="11873361" y="474848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241</xdr:row>
      <xdr:rowOff>43132</xdr:rowOff>
    </xdr:from>
    <xdr:to>
      <xdr:col>13</xdr:col>
      <xdr:colOff>287548</xdr:colOff>
      <xdr:row>241</xdr:row>
      <xdr:rowOff>301925</xdr:rowOff>
    </xdr:to>
    <xdr:sp macro="[0]!btnMinusInvSchEAreas_Click" textlink="">
      <xdr:nvSpPr>
        <xdr:cNvPr id="400" name="Minus 399">
          <a:extLst>
            <a:ext uri="{FF2B5EF4-FFF2-40B4-BE49-F238E27FC236}">
              <a16:creationId xmlns:a16="http://schemas.microsoft.com/office/drawing/2014/main" id="{00000000-0008-0000-0000-000090010000}"/>
            </a:ext>
          </a:extLst>
        </xdr:cNvPr>
        <xdr:cNvSpPr/>
      </xdr:nvSpPr>
      <xdr:spPr>
        <a:xfrm>
          <a:off x="12163605" y="474776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241</xdr:row>
      <xdr:rowOff>0</xdr:rowOff>
    </xdr:from>
    <xdr:to>
      <xdr:col>3</xdr:col>
      <xdr:colOff>0</xdr:colOff>
      <xdr:row>242</xdr:row>
      <xdr:rowOff>0</xdr:rowOff>
    </xdr:to>
    <xdr:sp macro="" textlink="">
      <xdr:nvSpPr>
        <xdr:cNvPr id="401" name="Freeform 400">
          <a:extLst>
            <a:ext uri="{FF2B5EF4-FFF2-40B4-BE49-F238E27FC236}">
              <a16:creationId xmlns:a16="http://schemas.microsoft.com/office/drawing/2014/main" id="{00000000-0008-0000-0000-000091010000}"/>
            </a:ext>
          </a:extLst>
        </xdr:cNvPr>
        <xdr:cNvSpPr/>
      </xdr:nvSpPr>
      <xdr:spPr>
        <a:xfrm>
          <a:off x="506348" y="474345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258</xdr:row>
      <xdr:rowOff>0</xdr:rowOff>
    </xdr:from>
    <xdr:to>
      <xdr:col>14</xdr:col>
      <xdr:colOff>0</xdr:colOff>
      <xdr:row>259</xdr:row>
      <xdr:rowOff>0</xdr:rowOff>
    </xdr:to>
    <xdr:sp macro="" textlink="">
      <xdr:nvSpPr>
        <xdr:cNvPr id="403" name="Freeform 402">
          <a:extLst>
            <a:ext uri="{FF2B5EF4-FFF2-40B4-BE49-F238E27FC236}">
              <a16:creationId xmlns:a16="http://schemas.microsoft.com/office/drawing/2014/main" id="{00000000-0008-0000-0000-000093010000}"/>
            </a:ext>
          </a:extLst>
        </xdr:cNvPr>
        <xdr:cNvSpPr/>
      </xdr:nvSpPr>
      <xdr:spPr>
        <a:xfrm flipH="1">
          <a:off x="12134850" y="526542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258</xdr:row>
      <xdr:rowOff>50321</xdr:rowOff>
    </xdr:from>
    <xdr:to>
      <xdr:col>12</xdr:col>
      <xdr:colOff>316301</xdr:colOff>
      <xdr:row>258</xdr:row>
      <xdr:rowOff>294736</xdr:rowOff>
    </xdr:to>
    <xdr:sp macro="[0]!btnPlusInvSchEAreas_Click" textlink="">
      <xdr:nvSpPr>
        <xdr:cNvPr id="404" name="Plus 403">
          <a:extLst>
            <a:ext uri="{FF2B5EF4-FFF2-40B4-BE49-F238E27FC236}">
              <a16:creationId xmlns:a16="http://schemas.microsoft.com/office/drawing/2014/main" id="{00000000-0008-0000-0000-000094010000}"/>
            </a:ext>
          </a:extLst>
        </xdr:cNvPr>
        <xdr:cNvSpPr/>
      </xdr:nvSpPr>
      <xdr:spPr>
        <a:xfrm>
          <a:off x="11873361" y="527045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258</xdr:row>
      <xdr:rowOff>43132</xdr:rowOff>
    </xdr:from>
    <xdr:to>
      <xdr:col>13</xdr:col>
      <xdr:colOff>287548</xdr:colOff>
      <xdr:row>258</xdr:row>
      <xdr:rowOff>301925</xdr:rowOff>
    </xdr:to>
    <xdr:sp macro="[0]!btnMinusInvSchEAreas_Click" textlink="">
      <xdr:nvSpPr>
        <xdr:cNvPr id="405" name="Minus 404">
          <a:extLst>
            <a:ext uri="{FF2B5EF4-FFF2-40B4-BE49-F238E27FC236}">
              <a16:creationId xmlns:a16="http://schemas.microsoft.com/office/drawing/2014/main" id="{00000000-0008-0000-0000-000095010000}"/>
            </a:ext>
          </a:extLst>
        </xdr:cNvPr>
        <xdr:cNvSpPr/>
      </xdr:nvSpPr>
      <xdr:spPr>
        <a:xfrm>
          <a:off x="12163605" y="526973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258</xdr:row>
      <xdr:rowOff>0</xdr:rowOff>
    </xdr:from>
    <xdr:to>
      <xdr:col>3</xdr:col>
      <xdr:colOff>0</xdr:colOff>
      <xdr:row>259</xdr:row>
      <xdr:rowOff>0</xdr:rowOff>
    </xdr:to>
    <xdr:sp macro="" textlink="">
      <xdr:nvSpPr>
        <xdr:cNvPr id="406" name="Freeform 405">
          <a:extLst>
            <a:ext uri="{FF2B5EF4-FFF2-40B4-BE49-F238E27FC236}">
              <a16:creationId xmlns:a16="http://schemas.microsoft.com/office/drawing/2014/main" id="{00000000-0008-0000-0000-000096010000}"/>
            </a:ext>
          </a:extLst>
        </xdr:cNvPr>
        <xdr:cNvSpPr/>
      </xdr:nvSpPr>
      <xdr:spPr>
        <a:xfrm>
          <a:off x="506348" y="526542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275</xdr:row>
      <xdr:rowOff>0</xdr:rowOff>
    </xdr:from>
    <xdr:to>
      <xdr:col>14</xdr:col>
      <xdr:colOff>0</xdr:colOff>
      <xdr:row>276</xdr:row>
      <xdr:rowOff>0</xdr:rowOff>
    </xdr:to>
    <xdr:sp macro="" textlink="">
      <xdr:nvSpPr>
        <xdr:cNvPr id="408" name="Freeform 407">
          <a:extLst>
            <a:ext uri="{FF2B5EF4-FFF2-40B4-BE49-F238E27FC236}">
              <a16:creationId xmlns:a16="http://schemas.microsoft.com/office/drawing/2014/main" id="{00000000-0008-0000-0000-000098010000}"/>
            </a:ext>
          </a:extLst>
        </xdr:cNvPr>
        <xdr:cNvSpPr/>
      </xdr:nvSpPr>
      <xdr:spPr>
        <a:xfrm flipH="1">
          <a:off x="12134850" y="57873900"/>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275</xdr:row>
      <xdr:rowOff>50321</xdr:rowOff>
    </xdr:from>
    <xdr:to>
      <xdr:col>12</xdr:col>
      <xdr:colOff>316301</xdr:colOff>
      <xdr:row>275</xdr:row>
      <xdr:rowOff>294736</xdr:rowOff>
    </xdr:to>
    <xdr:sp macro="[0]!btnPlusInvSchEAreas_Click" textlink="">
      <xdr:nvSpPr>
        <xdr:cNvPr id="409" name="Plus 408">
          <a:extLst>
            <a:ext uri="{FF2B5EF4-FFF2-40B4-BE49-F238E27FC236}">
              <a16:creationId xmlns:a16="http://schemas.microsoft.com/office/drawing/2014/main" id="{00000000-0008-0000-0000-000099010000}"/>
            </a:ext>
          </a:extLst>
        </xdr:cNvPr>
        <xdr:cNvSpPr/>
      </xdr:nvSpPr>
      <xdr:spPr>
        <a:xfrm>
          <a:off x="11873361" y="57924221"/>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275</xdr:row>
      <xdr:rowOff>43132</xdr:rowOff>
    </xdr:from>
    <xdr:to>
      <xdr:col>13</xdr:col>
      <xdr:colOff>287548</xdr:colOff>
      <xdr:row>275</xdr:row>
      <xdr:rowOff>301925</xdr:rowOff>
    </xdr:to>
    <xdr:sp macro="[0]!btnMinusInvSchEAreas_Click" textlink="">
      <xdr:nvSpPr>
        <xdr:cNvPr id="410" name="Minus 409">
          <a:extLst>
            <a:ext uri="{FF2B5EF4-FFF2-40B4-BE49-F238E27FC236}">
              <a16:creationId xmlns:a16="http://schemas.microsoft.com/office/drawing/2014/main" id="{00000000-0008-0000-0000-00009A010000}"/>
            </a:ext>
          </a:extLst>
        </xdr:cNvPr>
        <xdr:cNvSpPr/>
      </xdr:nvSpPr>
      <xdr:spPr>
        <a:xfrm>
          <a:off x="12163605" y="57917032"/>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275</xdr:row>
      <xdr:rowOff>0</xdr:rowOff>
    </xdr:from>
    <xdr:to>
      <xdr:col>3</xdr:col>
      <xdr:colOff>0</xdr:colOff>
      <xdr:row>276</xdr:row>
      <xdr:rowOff>0</xdr:rowOff>
    </xdr:to>
    <xdr:sp macro="" textlink="">
      <xdr:nvSpPr>
        <xdr:cNvPr id="411" name="Freeform 410">
          <a:extLst>
            <a:ext uri="{FF2B5EF4-FFF2-40B4-BE49-F238E27FC236}">
              <a16:creationId xmlns:a16="http://schemas.microsoft.com/office/drawing/2014/main" id="{00000000-0008-0000-0000-00009B010000}"/>
            </a:ext>
          </a:extLst>
        </xdr:cNvPr>
        <xdr:cNvSpPr/>
      </xdr:nvSpPr>
      <xdr:spPr>
        <a:xfrm>
          <a:off x="506348" y="57873900"/>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426</xdr:row>
      <xdr:rowOff>0</xdr:rowOff>
    </xdr:from>
    <xdr:to>
      <xdr:col>14</xdr:col>
      <xdr:colOff>0</xdr:colOff>
      <xdr:row>427</xdr:row>
      <xdr:rowOff>0</xdr:rowOff>
    </xdr:to>
    <xdr:sp macro="" textlink="">
      <xdr:nvSpPr>
        <xdr:cNvPr id="413" name="Freeform 412">
          <a:extLst>
            <a:ext uri="{FF2B5EF4-FFF2-40B4-BE49-F238E27FC236}">
              <a16:creationId xmlns:a16="http://schemas.microsoft.com/office/drawing/2014/main" id="{00000000-0008-0000-0000-00009D010000}"/>
            </a:ext>
          </a:extLst>
        </xdr:cNvPr>
        <xdr:cNvSpPr/>
      </xdr:nvSpPr>
      <xdr:spPr>
        <a:xfrm flipH="1">
          <a:off x="12134850" y="150209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426</xdr:row>
      <xdr:rowOff>50321</xdr:rowOff>
    </xdr:from>
    <xdr:to>
      <xdr:col>12</xdr:col>
      <xdr:colOff>316301</xdr:colOff>
      <xdr:row>426</xdr:row>
      <xdr:rowOff>294736</xdr:rowOff>
    </xdr:to>
    <xdr:sp macro="[0]!btnPlusBusFrm8825Areas_Click" textlink="">
      <xdr:nvSpPr>
        <xdr:cNvPr id="414" name="Plus 413">
          <a:extLst>
            <a:ext uri="{FF2B5EF4-FFF2-40B4-BE49-F238E27FC236}">
              <a16:creationId xmlns:a16="http://schemas.microsoft.com/office/drawing/2014/main" id="{00000000-0008-0000-0000-00009E010000}"/>
            </a:ext>
          </a:extLst>
        </xdr:cNvPr>
        <xdr:cNvSpPr/>
      </xdr:nvSpPr>
      <xdr:spPr>
        <a:xfrm>
          <a:off x="11873361" y="150712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426</xdr:row>
      <xdr:rowOff>43132</xdr:rowOff>
    </xdr:from>
    <xdr:to>
      <xdr:col>13</xdr:col>
      <xdr:colOff>287548</xdr:colOff>
      <xdr:row>426</xdr:row>
      <xdr:rowOff>301925</xdr:rowOff>
    </xdr:to>
    <xdr:sp macro="[0]!btnMinusBusFrm8825Areas_Click" textlink="">
      <xdr:nvSpPr>
        <xdr:cNvPr id="415" name="Minus 414">
          <a:extLst>
            <a:ext uri="{FF2B5EF4-FFF2-40B4-BE49-F238E27FC236}">
              <a16:creationId xmlns:a16="http://schemas.microsoft.com/office/drawing/2014/main" id="{00000000-0008-0000-0000-00009F010000}"/>
            </a:ext>
          </a:extLst>
        </xdr:cNvPr>
        <xdr:cNvSpPr/>
      </xdr:nvSpPr>
      <xdr:spPr>
        <a:xfrm>
          <a:off x="12163605" y="150640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426</xdr:row>
      <xdr:rowOff>0</xdr:rowOff>
    </xdr:from>
    <xdr:to>
      <xdr:col>3</xdr:col>
      <xdr:colOff>0</xdr:colOff>
      <xdr:row>427</xdr:row>
      <xdr:rowOff>0</xdr:rowOff>
    </xdr:to>
    <xdr:sp macro="" textlink="">
      <xdr:nvSpPr>
        <xdr:cNvPr id="416" name="Freeform 415">
          <a:extLst>
            <a:ext uri="{FF2B5EF4-FFF2-40B4-BE49-F238E27FC236}">
              <a16:creationId xmlns:a16="http://schemas.microsoft.com/office/drawing/2014/main" id="{00000000-0008-0000-0000-0000A0010000}"/>
            </a:ext>
          </a:extLst>
        </xdr:cNvPr>
        <xdr:cNvSpPr/>
      </xdr:nvSpPr>
      <xdr:spPr>
        <a:xfrm>
          <a:off x="506348" y="150209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443</xdr:row>
      <xdr:rowOff>0</xdr:rowOff>
    </xdr:from>
    <xdr:to>
      <xdr:col>14</xdr:col>
      <xdr:colOff>0</xdr:colOff>
      <xdr:row>444</xdr:row>
      <xdr:rowOff>0</xdr:rowOff>
    </xdr:to>
    <xdr:sp macro="" textlink="">
      <xdr:nvSpPr>
        <xdr:cNvPr id="418" name="Freeform 417">
          <a:extLst>
            <a:ext uri="{FF2B5EF4-FFF2-40B4-BE49-F238E27FC236}">
              <a16:creationId xmlns:a16="http://schemas.microsoft.com/office/drawing/2014/main" id="{00000000-0008-0000-0000-0000A2010000}"/>
            </a:ext>
          </a:extLst>
        </xdr:cNvPr>
        <xdr:cNvSpPr/>
      </xdr:nvSpPr>
      <xdr:spPr>
        <a:xfrm flipH="1">
          <a:off x="12134850" y="202406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443</xdr:row>
      <xdr:rowOff>50321</xdr:rowOff>
    </xdr:from>
    <xdr:to>
      <xdr:col>12</xdr:col>
      <xdr:colOff>316301</xdr:colOff>
      <xdr:row>443</xdr:row>
      <xdr:rowOff>294736</xdr:rowOff>
    </xdr:to>
    <xdr:sp macro="[0]!btnPlusBusFrm8825Areas_Click" textlink="">
      <xdr:nvSpPr>
        <xdr:cNvPr id="419" name="Plus 418">
          <a:extLst>
            <a:ext uri="{FF2B5EF4-FFF2-40B4-BE49-F238E27FC236}">
              <a16:creationId xmlns:a16="http://schemas.microsoft.com/office/drawing/2014/main" id="{00000000-0008-0000-0000-0000A3010000}"/>
            </a:ext>
          </a:extLst>
        </xdr:cNvPr>
        <xdr:cNvSpPr/>
      </xdr:nvSpPr>
      <xdr:spPr>
        <a:xfrm>
          <a:off x="11873361" y="202909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443</xdr:row>
      <xdr:rowOff>43132</xdr:rowOff>
    </xdr:from>
    <xdr:to>
      <xdr:col>13</xdr:col>
      <xdr:colOff>287548</xdr:colOff>
      <xdr:row>443</xdr:row>
      <xdr:rowOff>301925</xdr:rowOff>
    </xdr:to>
    <xdr:sp macro="[0]!btnMinusBusFrm8825Areas_Click" textlink="">
      <xdr:nvSpPr>
        <xdr:cNvPr id="420" name="Minus 419">
          <a:extLst>
            <a:ext uri="{FF2B5EF4-FFF2-40B4-BE49-F238E27FC236}">
              <a16:creationId xmlns:a16="http://schemas.microsoft.com/office/drawing/2014/main" id="{00000000-0008-0000-0000-0000A4010000}"/>
            </a:ext>
          </a:extLst>
        </xdr:cNvPr>
        <xdr:cNvSpPr/>
      </xdr:nvSpPr>
      <xdr:spPr>
        <a:xfrm>
          <a:off x="12163605" y="202837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443</xdr:row>
      <xdr:rowOff>0</xdr:rowOff>
    </xdr:from>
    <xdr:to>
      <xdr:col>3</xdr:col>
      <xdr:colOff>0</xdr:colOff>
      <xdr:row>444</xdr:row>
      <xdr:rowOff>0</xdr:rowOff>
    </xdr:to>
    <xdr:sp macro="" textlink="">
      <xdr:nvSpPr>
        <xdr:cNvPr id="421" name="Freeform 420">
          <a:extLst>
            <a:ext uri="{FF2B5EF4-FFF2-40B4-BE49-F238E27FC236}">
              <a16:creationId xmlns:a16="http://schemas.microsoft.com/office/drawing/2014/main" id="{00000000-0008-0000-0000-0000A5010000}"/>
            </a:ext>
          </a:extLst>
        </xdr:cNvPr>
        <xdr:cNvSpPr/>
      </xdr:nvSpPr>
      <xdr:spPr>
        <a:xfrm>
          <a:off x="506348" y="202406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460</xdr:row>
      <xdr:rowOff>0</xdr:rowOff>
    </xdr:from>
    <xdr:to>
      <xdr:col>14</xdr:col>
      <xdr:colOff>0</xdr:colOff>
      <xdr:row>461</xdr:row>
      <xdr:rowOff>0</xdr:rowOff>
    </xdr:to>
    <xdr:sp macro="" textlink="">
      <xdr:nvSpPr>
        <xdr:cNvPr id="423" name="Freeform 422">
          <a:extLst>
            <a:ext uri="{FF2B5EF4-FFF2-40B4-BE49-F238E27FC236}">
              <a16:creationId xmlns:a16="http://schemas.microsoft.com/office/drawing/2014/main" id="{00000000-0008-0000-0000-0000A7010000}"/>
            </a:ext>
          </a:extLst>
        </xdr:cNvPr>
        <xdr:cNvSpPr/>
      </xdr:nvSpPr>
      <xdr:spPr>
        <a:xfrm flipH="1">
          <a:off x="12134850" y="254603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460</xdr:row>
      <xdr:rowOff>50321</xdr:rowOff>
    </xdr:from>
    <xdr:to>
      <xdr:col>12</xdr:col>
      <xdr:colOff>316301</xdr:colOff>
      <xdr:row>460</xdr:row>
      <xdr:rowOff>294736</xdr:rowOff>
    </xdr:to>
    <xdr:sp macro="[0]!btnPlusBusFrm8825Areas_Click" textlink="">
      <xdr:nvSpPr>
        <xdr:cNvPr id="424" name="Plus 423">
          <a:extLst>
            <a:ext uri="{FF2B5EF4-FFF2-40B4-BE49-F238E27FC236}">
              <a16:creationId xmlns:a16="http://schemas.microsoft.com/office/drawing/2014/main" id="{00000000-0008-0000-0000-0000A8010000}"/>
            </a:ext>
          </a:extLst>
        </xdr:cNvPr>
        <xdr:cNvSpPr/>
      </xdr:nvSpPr>
      <xdr:spPr>
        <a:xfrm>
          <a:off x="11873361" y="255106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460</xdr:row>
      <xdr:rowOff>43132</xdr:rowOff>
    </xdr:from>
    <xdr:to>
      <xdr:col>13</xdr:col>
      <xdr:colOff>287548</xdr:colOff>
      <xdr:row>460</xdr:row>
      <xdr:rowOff>301925</xdr:rowOff>
    </xdr:to>
    <xdr:sp macro="[0]!btnMinusBusFrm8825Areas_Click" textlink="">
      <xdr:nvSpPr>
        <xdr:cNvPr id="425" name="Minus 424">
          <a:extLst>
            <a:ext uri="{FF2B5EF4-FFF2-40B4-BE49-F238E27FC236}">
              <a16:creationId xmlns:a16="http://schemas.microsoft.com/office/drawing/2014/main" id="{00000000-0008-0000-0000-0000A9010000}"/>
            </a:ext>
          </a:extLst>
        </xdr:cNvPr>
        <xdr:cNvSpPr/>
      </xdr:nvSpPr>
      <xdr:spPr>
        <a:xfrm>
          <a:off x="12163605" y="255034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460</xdr:row>
      <xdr:rowOff>0</xdr:rowOff>
    </xdr:from>
    <xdr:to>
      <xdr:col>3</xdr:col>
      <xdr:colOff>0</xdr:colOff>
      <xdr:row>461</xdr:row>
      <xdr:rowOff>0</xdr:rowOff>
    </xdr:to>
    <xdr:sp macro="" textlink="">
      <xdr:nvSpPr>
        <xdr:cNvPr id="426" name="Freeform 425">
          <a:extLst>
            <a:ext uri="{FF2B5EF4-FFF2-40B4-BE49-F238E27FC236}">
              <a16:creationId xmlns:a16="http://schemas.microsoft.com/office/drawing/2014/main" id="{00000000-0008-0000-0000-0000AA010000}"/>
            </a:ext>
          </a:extLst>
        </xdr:cNvPr>
        <xdr:cNvSpPr/>
      </xdr:nvSpPr>
      <xdr:spPr>
        <a:xfrm>
          <a:off x="506348" y="254603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477</xdr:row>
      <xdr:rowOff>0</xdr:rowOff>
    </xdr:from>
    <xdr:to>
      <xdr:col>14</xdr:col>
      <xdr:colOff>0</xdr:colOff>
      <xdr:row>478</xdr:row>
      <xdr:rowOff>0</xdr:rowOff>
    </xdr:to>
    <xdr:sp macro="" textlink="">
      <xdr:nvSpPr>
        <xdr:cNvPr id="428" name="Freeform 427">
          <a:extLst>
            <a:ext uri="{FF2B5EF4-FFF2-40B4-BE49-F238E27FC236}">
              <a16:creationId xmlns:a16="http://schemas.microsoft.com/office/drawing/2014/main" id="{00000000-0008-0000-0000-0000AC010000}"/>
            </a:ext>
          </a:extLst>
        </xdr:cNvPr>
        <xdr:cNvSpPr/>
      </xdr:nvSpPr>
      <xdr:spPr>
        <a:xfrm flipH="1">
          <a:off x="12134850" y="306800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477</xdr:row>
      <xdr:rowOff>50321</xdr:rowOff>
    </xdr:from>
    <xdr:to>
      <xdr:col>12</xdr:col>
      <xdr:colOff>316301</xdr:colOff>
      <xdr:row>477</xdr:row>
      <xdr:rowOff>294736</xdr:rowOff>
    </xdr:to>
    <xdr:sp macro="[0]!btnPlusBusFrm8825Areas_Click" textlink="">
      <xdr:nvSpPr>
        <xdr:cNvPr id="429" name="Plus 428">
          <a:extLst>
            <a:ext uri="{FF2B5EF4-FFF2-40B4-BE49-F238E27FC236}">
              <a16:creationId xmlns:a16="http://schemas.microsoft.com/office/drawing/2014/main" id="{00000000-0008-0000-0000-0000AD010000}"/>
            </a:ext>
          </a:extLst>
        </xdr:cNvPr>
        <xdr:cNvSpPr/>
      </xdr:nvSpPr>
      <xdr:spPr>
        <a:xfrm>
          <a:off x="11873361" y="307303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477</xdr:row>
      <xdr:rowOff>43132</xdr:rowOff>
    </xdr:from>
    <xdr:to>
      <xdr:col>13</xdr:col>
      <xdr:colOff>287548</xdr:colOff>
      <xdr:row>477</xdr:row>
      <xdr:rowOff>301925</xdr:rowOff>
    </xdr:to>
    <xdr:sp macro="[0]!btnMinusBusFrm8825Areas_Click" textlink="">
      <xdr:nvSpPr>
        <xdr:cNvPr id="430" name="Minus 429">
          <a:extLst>
            <a:ext uri="{FF2B5EF4-FFF2-40B4-BE49-F238E27FC236}">
              <a16:creationId xmlns:a16="http://schemas.microsoft.com/office/drawing/2014/main" id="{00000000-0008-0000-0000-0000AE010000}"/>
            </a:ext>
          </a:extLst>
        </xdr:cNvPr>
        <xdr:cNvSpPr/>
      </xdr:nvSpPr>
      <xdr:spPr>
        <a:xfrm>
          <a:off x="12163605" y="307231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477</xdr:row>
      <xdr:rowOff>0</xdr:rowOff>
    </xdr:from>
    <xdr:to>
      <xdr:col>3</xdr:col>
      <xdr:colOff>0</xdr:colOff>
      <xdr:row>478</xdr:row>
      <xdr:rowOff>0</xdr:rowOff>
    </xdr:to>
    <xdr:sp macro="" textlink="">
      <xdr:nvSpPr>
        <xdr:cNvPr id="431" name="Freeform 430">
          <a:extLst>
            <a:ext uri="{FF2B5EF4-FFF2-40B4-BE49-F238E27FC236}">
              <a16:creationId xmlns:a16="http://schemas.microsoft.com/office/drawing/2014/main" id="{00000000-0008-0000-0000-0000AF010000}"/>
            </a:ext>
          </a:extLst>
        </xdr:cNvPr>
        <xdr:cNvSpPr/>
      </xdr:nvSpPr>
      <xdr:spPr>
        <a:xfrm>
          <a:off x="506348" y="306800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494</xdr:row>
      <xdr:rowOff>0</xdr:rowOff>
    </xdr:from>
    <xdr:to>
      <xdr:col>14</xdr:col>
      <xdr:colOff>0</xdr:colOff>
      <xdr:row>495</xdr:row>
      <xdr:rowOff>0</xdr:rowOff>
    </xdr:to>
    <xdr:sp macro="" textlink="">
      <xdr:nvSpPr>
        <xdr:cNvPr id="433" name="Freeform 432">
          <a:extLst>
            <a:ext uri="{FF2B5EF4-FFF2-40B4-BE49-F238E27FC236}">
              <a16:creationId xmlns:a16="http://schemas.microsoft.com/office/drawing/2014/main" id="{00000000-0008-0000-0000-0000B1010000}"/>
            </a:ext>
          </a:extLst>
        </xdr:cNvPr>
        <xdr:cNvSpPr/>
      </xdr:nvSpPr>
      <xdr:spPr>
        <a:xfrm flipH="1">
          <a:off x="12134850" y="358997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494</xdr:row>
      <xdr:rowOff>50321</xdr:rowOff>
    </xdr:from>
    <xdr:to>
      <xdr:col>12</xdr:col>
      <xdr:colOff>316301</xdr:colOff>
      <xdr:row>494</xdr:row>
      <xdr:rowOff>294736</xdr:rowOff>
    </xdr:to>
    <xdr:sp macro="[0]!btnPlusBusFrm8825Areas_Click" textlink="">
      <xdr:nvSpPr>
        <xdr:cNvPr id="434" name="Plus 433">
          <a:extLst>
            <a:ext uri="{FF2B5EF4-FFF2-40B4-BE49-F238E27FC236}">
              <a16:creationId xmlns:a16="http://schemas.microsoft.com/office/drawing/2014/main" id="{00000000-0008-0000-0000-0000B2010000}"/>
            </a:ext>
          </a:extLst>
        </xdr:cNvPr>
        <xdr:cNvSpPr/>
      </xdr:nvSpPr>
      <xdr:spPr>
        <a:xfrm>
          <a:off x="11873361" y="359500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494</xdr:row>
      <xdr:rowOff>43132</xdr:rowOff>
    </xdr:from>
    <xdr:to>
      <xdr:col>13</xdr:col>
      <xdr:colOff>287548</xdr:colOff>
      <xdr:row>494</xdr:row>
      <xdr:rowOff>301925</xdr:rowOff>
    </xdr:to>
    <xdr:sp macro="[0]!btnMinusBusFrm8825Areas_Click" textlink="">
      <xdr:nvSpPr>
        <xdr:cNvPr id="435" name="Minus 434">
          <a:extLst>
            <a:ext uri="{FF2B5EF4-FFF2-40B4-BE49-F238E27FC236}">
              <a16:creationId xmlns:a16="http://schemas.microsoft.com/office/drawing/2014/main" id="{00000000-0008-0000-0000-0000B3010000}"/>
            </a:ext>
          </a:extLst>
        </xdr:cNvPr>
        <xdr:cNvSpPr/>
      </xdr:nvSpPr>
      <xdr:spPr>
        <a:xfrm>
          <a:off x="12163605" y="359428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494</xdr:row>
      <xdr:rowOff>0</xdr:rowOff>
    </xdr:from>
    <xdr:to>
      <xdr:col>3</xdr:col>
      <xdr:colOff>0</xdr:colOff>
      <xdr:row>495</xdr:row>
      <xdr:rowOff>0</xdr:rowOff>
    </xdr:to>
    <xdr:sp macro="" textlink="">
      <xdr:nvSpPr>
        <xdr:cNvPr id="436" name="Freeform 435">
          <a:extLst>
            <a:ext uri="{FF2B5EF4-FFF2-40B4-BE49-F238E27FC236}">
              <a16:creationId xmlns:a16="http://schemas.microsoft.com/office/drawing/2014/main" id="{00000000-0008-0000-0000-0000B4010000}"/>
            </a:ext>
          </a:extLst>
        </xdr:cNvPr>
        <xdr:cNvSpPr/>
      </xdr:nvSpPr>
      <xdr:spPr>
        <a:xfrm>
          <a:off x="506348" y="358997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511</xdr:row>
      <xdr:rowOff>0</xdr:rowOff>
    </xdr:from>
    <xdr:to>
      <xdr:col>14</xdr:col>
      <xdr:colOff>0</xdr:colOff>
      <xdr:row>512</xdr:row>
      <xdr:rowOff>0</xdr:rowOff>
    </xdr:to>
    <xdr:sp macro="" textlink="">
      <xdr:nvSpPr>
        <xdr:cNvPr id="438" name="Freeform 437">
          <a:extLst>
            <a:ext uri="{FF2B5EF4-FFF2-40B4-BE49-F238E27FC236}">
              <a16:creationId xmlns:a16="http://schemas.microsoft.com/office/drawing/2014/main" id="{00000000-0008-0000-0000-0000B6010000}"/>
            </a:ext>
          </a:extLst>
        </xdr:cNvPr>
        <xdr:cNvSpPr/>
      </xdr:nvSpPr>
      <xdr:spPr>
        <a:xfrm flipH="1">
          <a:off x="12134850" y="411194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511</xdr:row>
      <xdr:rowOff>50321</xdr:rowOff>
    </xdr:from>
    <xdr:to>
      <xdr:col>12</xdr:col>
      <xdr:colOff>316301</xdr:colOff>
      <xdr:row>511</xdr:row>
      <xdr:rowOff>294736</xdr:rowOff>
    </xdr:to>
    <xdr:sp macro="[0]!btnPlusBusFrm8825Areas_Click" textlink="">
      <xdr:nvSpPr>
        <xdr:cNvPr id="439" name="Plus 438">
          <a:extLst>
            <a:ext uri="{FF2B5EF4-FFF2-40B4-BE49-F238E27FC236}">
              <a16:creationId xmlns:a16="http://schemas.microsoft.com/office/drawing/2014/main" id="{00000000-0008-0000-0000-0000B7010000}"/>
            </a:ext>
          </a:extLst>
        </xdr:cNvPr>
        <xdr:cNvSpPr/>
      </xdr:nvSpPr>
      <xdr:spPr>
        <a:xfrm>
          <a:off x="11873361" y="411697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511</xdr:row>
      <xdr:rowOff>43132</xdr:rowOff>
    </xdr:from>
    <xdr:to>
      <xdr:col>13</xdr:col>
      <xdr:colOff>287548</xdr:colOff>
      <xdr:row>511</xdr:row>
      <xdr:rowOff>301925</xdr:rowOff>
    </xdr:to>
    <xdr:sp macro="[0]!btnMinusBusFrm8825Areas_Click" textlink="">
      <xdr:nvSpPr>
        <xdr:cNvPr id="440" name="Minus 439">
          <a:extLst>
            <a:ext uri="{FF2B5EF4-FFF2-40B4-BE49-F238E27FC236}">
              <a16:creationId xmlns:a16="http://schemas.microsoft.com/office/drawing/2014/main" id="{00000000-0008-0000-0000-0000B8010000}"/>
            </a:ext>
          </a:extLst>
        </xdr:cNvPr>
        <xdr:cNvSpPr/>
      </xdr:nvSpPr>
      <xdr:spPr>
        <a:xfrm>
          <a:off x="12163605" y="411625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511</xdr:row>
      <xdr:rowOff>0</xdr:rowOff>
    </xdr:from>
    <xdr:to>
      <xdr:col>3</xdr:col>
      <xdr:colOff>0</xdr:colOff>
      <xdr:row>512</xdr:row>
      <xdr:rowOff>0</xdr:rowOff>
    </xdr:to>
    <xdr:sp macro="" textlink="">
      <xdr:nvSpPr>
        <xdr:cNvPr id="441" name="Freeform 440">
          <a:extLst>
            <a:ext uri="{FF2B5EF4-FFF2-40B4-BE49-F238E27FC236}">
              <a16:creationId xmlns:a16="http://schemas.microsoft.com/office/drawing/2014/main" id="{00000000-0008-0000-0000-0000B9010000}"/>
            </a:ext>
          </a:extLst>
        </xdr:cNvPr>
        <xdr:cNvSpPr/>
      </xdr:nvSpPr>
      <xdr:spPr>
        <a:xfrm>
          <a:off x="506348" y="411194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528</xdr:row>
      <xdr:rowOff>0</xdr:rowOff>
    </xdr:from>
    <xdr:to>
      <xdr:col>14</xdr:col>
      <xdr:colOff>0</xdr:colOff>
      <xdr:row>529</xdr:row>
      <xdr:rowOff>0</xdr:rowOff>
    </xdr:to>
    <xdr:sp macro="" textlink="">
      <xdr:nvSpPr>
        <xdr:cNvPr id="443" name="Freeform 442">
          <a:extLst>
            <a:ext uri="{FF2B5EF4-FFF2-40B4-BE49-F238E27FC236}">
              <a16:creationId xmlns:a16="http://schemas.microsoft.com/office/drawing/2014/main" id="{00000000-0008-0000-0000-0000BB010000}"/>
            </a:ext>
          </a:extLst>
        </xdr:cNvPr>
        <xdr:cNvSpPr/>
      </xdr:nvSpPr>
      <xdr:spPr>
        <a:xfrm flipH="1">
          <a:off x="12134850" y="463391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528</xdr:row>
      <xdr:rowOff>50321</xdr:rowOff>
    </xdr:from>
    <xdr:to>
      <xdr:col>12</xdr:col>
      <xdr:colOff>316301</xdr:colOff>
      <xdr:row>528</xdr:row>
      <xdr:rowOff>294736</xdr:rowOff>
    </xdr:to>
    <xdr:sp macro="[0]!btnPlusBusFrm8825Areas_Click" textlink="">
      <xdr:nvSpPr>
        <xdr:cNvPr id="444" name="Plus 443">
          <a:extLst>
            <a:ext uri="{FF2B5EF4-FFF2-40B4-BE49-F238E27FC236}">
              <a16:creationId xmlns:a16="http://schemas.microsoft.com/office/drawing/2014/main" id="{00000000-0008-0000-0000-0000BC010000}"/>
            </a:ext>
          </a:extLst>
        </xdr:cNvPr>
        <xdr:cNvSpPr/>
      </xdr:nvSpPr>
      <xdr:spPr>
        <a:xfrm>
          <a:off x="11873361" y="463894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528</xdr:row>
      <xdr:rowOff>43132</xdr:rowOff>
    </xdr:from>
    <xdr:to>
      <xdr:col>13</xdr:col>
      <xdr:colOff>287548</xdr:colOff>
      <xdr:row>528</xdr:row>
      <xdr:rowOff>301925</xdr:rowOff>
    </xdr:to>
    <xdr:sp macro="[0]!btnMinusBusFrm8825Areas_Click" textlink="">
      <xdr:nvSpPr>
        <xdr:cNvPr id="445" name="Minus 444">
          <a:extLst>
            <a:ext uri="{FF2B5EF4-FFF2-40B4-BE49-F238E27FC236}">
              <a16:creationId xmlns:a16="http://schemas.microsoft.com/office/drawing/2014/main" id="{00000000-0008-0000-0000-0000BD010000}"/>
            </a:ext>
          </a:extLst>
        </xdr:cNvPr>
        <xdr:cNvSpPr/>
      </xdr:nvSpPr>
      <xdr:spPr>
        <a:xfrm>
          <a:off x="12163605" y="463822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528</xdr:row>
      <xdr:rowOff>0</xdr:rowOff>
    </xdr:from>
    <xdr:to>
      <xdr:col>3</xdr:col>
      <xdr:colOff>0</xdr:colOff>
      <xdr:row>529</xdr:row>
      <xdr:rowOff>0</xdr:rowOff>
    </xdr:to>
    <xdr:sp macro="" textlink="">
      <xdr:nvSpPr>
        <xdr:cNvPr id="446" name="Freeform 445">
          <a:extLst>
            <a:ext uri="{FF2B5EF4-FFF2-40B4-BE49-F238E27FC236}">
              <a16:creationId xmlns:a16="http://schemas.microsoft.com/office/drawing/2014/main" id="{00000000-0008-0000-0000-0000BE010000}"/>
            </a:ext>
          </a:extLst>
        </xdr:cNvPr>
        <xdr:cNvSpPr/>
      </xdr:nvSpPr>
      <xdr:spPr>
        <a:xfrm>
          <a:off x="506348" y="463391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545</xdr:row>
      <xdr:rowOff>0</xdr:rowOff>
    </xdr:from>
    <xdr:to>
      <xdr:col>14</xdr:col>
      <xdr:colOff>0</xdr:colOff>
      <xdr:row>546</xdr:row>
      <xdr:rowOff>0</xdr:rowOff>
    </xdr:to>
    <xdr:sp macro="" textlink="">
      <xdr:nvSpPr>
        <xdr:cNvPr id="448" name="Freeform 447">
          <a:extLst>
            <a:ext uri="{FF2B5EF4-FFF2-40B4-BE49-F238E27FC236}">
              <a16:creationId xmlns:a16="http://schemas.microsoft.com/office/drawing/2014/main" id="{00000000-0008-0000-0000-0000C0010000}"/>
            </a:ext>
          </a:extLst>
        </xdr:cNvPr>
        <xdr:cNvSpPr/>
      </xdr:nvSpPr>
      <xdr:spPr>
        <a:xfrm flipH="1">
          <a:off x="12134850" y="515588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545</xdr:row>
      <xdr:rowOff>50321</xdr:rowOff>
    </xdr:from>
    <xdr:to>
      <xdr:col>12</xdr:col>
      <xdr:colOff>316301</xdr:colOff>
      <xdr:row>545</xdr:row>
      <xdr:rowOff>294736</xdr:rowOff>
    </xdr:to>
    <xdr:sp macro="[0]!btnPlusBusFrm8825Areas_Click" textlink="">
      <xdr:nvSpPr>
        <xdr:cNvPr id="449" name="Plus 448">
          <a:extLst>
            <a:ext uri="{FF2B5EF4-FFF2-40B4-BE49-F238E27FC236}">
              <a16:creationId xmlns:a16="http://schemas.microsoft.com/office/drawing/2014/main" id="{00000000-0008-0000-0000-0000C1010000}"/>
            </a:ext>
          </a:extLst>
        </xdr:cNvPr>
        <xdr:cNvSpPr/>
      </xdr:nvSpPr>
      <xdr:spPr>
        <a:xfrm>
          <a:off x="11873361" y="516091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545</xdr:row>
      <xdr:rowOff>43132</xdr:rowOff>
    </xdr:from>
    <xdr:to>
      <xdr:col>13</xdr:col>
      <xdr:colOff>287548</xdr:colOff>
      <xdr:row>545</xdr:row>
      <xdr:rowOff>301925</xdr:rowOff>
    </xdr:to>
    <xdr:sp macro="[0]!btnMinusBusFrm8825Areas_Click" textlink="">
      <xdr:nvSpPr>
        <xdr:cNvPr id="450" name="Minus 449">
          <a:extLst>
            <a:ext uri="{FF2B5EF4-FFF2-40B4-BE49-F238E27FC236}">
              <a16:creationId xmlns:a16="http://schemas.microsoft.com/office/drawing/2014/main" id="{00000000-0008-0000-0000-0000C2010000}"/>
            </a:ext>
          </a:extLst>
        </xdr:cNvPr>
        <xdr:cNvSpPr/>
      </xdr:nvSpPr>
      <xdr:spPr>
        <a:xfrm>
          <a:off x="12163605" y="516019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545</xdr:row>
      <xdr:rowOff>0</xdr:rowOff>
    </xdr:from>
    <xdr:to>
      <xdr:col>3</xdr:col>
      <xdr:colOff>0</xdr:colOff>
      <xdr:row>546</xdr:row>
      <xdr:rowOff>0</xdr:rowOff>
    </xdr:to>
    <xdr:sp macro="" textlink="">
      <xdr:nvSpPr>
        <xdr:cNvPr id="451" name="Freeform 450">
          <a:extLst>
            <a:ext uri="{FF2B5EF4-FFF2-40B4-BE49-F238E27FC236}">
              <a16:creationId xmlns:a16="http://schemas.microsoft.com/office/drawing/2014/main" id="{00000000-0008-0000-0000-0000C3010000}"/>
            </a:ext>
          </a:extLst>
        </xdr:cNvPr>
        <xdr:cNvSpPr/>
      </xdr:nvSpPr>
      <xdr:spPr>
        <a:xfrm>
          <a:off x="506348" y="515588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562</xdr:row>
      <xdr:rowOff>0</xdr:rowOff>
    </xdr:from>
    <xdr:to>
      <xdr:col>14</xdr:col>
      <xdr:colOff>0</xdr:colOff>
      <xdr:row>563</xdr:row>
      <xdr:rowOff>0</xdr:rowOff>
    </xdr:to>
    <xdr:sp macro="" textlink="">
      <xdr:nvSpPr>
        <xdr:cNvPr id="453" name="Freeform 452">
          <a:extLst>
            <a:ext uri="{FF2B5EF4-FFF2-40B4-BE49-F238E27FC236}">
              <a16:creationId xmlns:a16="http://schemas.microsoft.com/office/drawing/2014/main" id="{00000000-0008-0000-0000-0000C5010000}"/>
            </a:ext>
          </a:extLst>
        </xdr:cNvPr>
        <xdr:cNvSpPr/>
      </xdr:nvSpPr>
      <xdr:spPr>
        <a:xfrm flipH="1">
          <a:off x="12134850" y="567785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562</xdr:row>
      <xdr:rowOff>50321</xdr:rowOff>
    </xdr:from>
    <xdr:to>
      <xdr:col>12</xdr:col>
      <xdr:colOff>316301</xdr:colOff>
      <xdr:row>562</xdr:row>
      <xdr:rowOff>294736</xdr:rowOff>
    </xdr:to>
    <xdr:sp macro="[0]!btnPlusBusFrm8825Areas_Click" textlink="">
      <xdr:nvSpPr>
        <xdr:cNvPr id="454" name="Plus 453">
          <a:extLst>
            <a:ext uri="{FF2B5EF4-FFF2-40B4-BE49-F238E27FC236}">
              <a16:creationId xmlns:a16="http://schemas.microsoft.com/office/drawing/2014/main" id="{00000000-0008-0000-0000-0000C6010000}"/>
            </a:ext>
          </a:extLst>
        </xdr:cNvPr>
        <xdr:cNvSpPr/>
      </xdr:nvSpPr>
      <xdr:spPr>
        <a:xfrm>
          <a:off x="11873361" y="568288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562</xdr:row>
      <xdr:rowOff>43132</xdr:rowOff>
    </xdr:from>
    <xdr:to>
      <xdr:col>13</xdr:col>
      <xdr:colOff>287548</xdr:colOff>
      <xdr:row>562</xdr:row>
      <xdr:rowOff>301925</xdr:rowOff>
    </xdr:to>
    <xdr:sp macro="[0]!btnMinusBusFrm8825Areas_Click" textlink="">
      <xdr:nvSpPr>
        <xdr:cNvPr id="455" name="Minus 454">
          <a:extLst>
            <a:ext uri="{FF2B5EF4-FFF2-40B4-BE49-F238E27FC236}">
              <a16:creationId xmlns:a16="http://schemas.microsoft.com/office/drawing/2014/main" id="{00000000-0008-0000-0000-0000C7010000}"/>
            </a:ext>
          </a:extLst>
        </xdr:cNvPr>
        <xdr:cNvSpPr/>
      </xdr:nvSpPr>
      <xdr:spPr>
        <a:xfrm>
          <a:off x="12163605" y="568216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562</xdr:row>
      <xdr:rowOff>0</xdr:rowOff>
    </xdr:from>
    <xdr:to>
      <xdr:col>3</xdr:col>
      <xdr:colOff>0</xdr:colOff>
      <xdr:row>563</xdr:row>
      <xdr:rowOff>0</xdr:rowOff>
    </xdr:to>
    <xdr:sp macro="" textlink="">
      <xdr:nvSpPr>
        <xdr:cNvPr id="456" name="Freeform 455">
          <a:extLst>
            <a:ext uri="{FF2B5EF4-FFF2-40B4-BE49-F238E27FC236}">
              <a16:creationId xmlns:a16="http://schemas.microsoft.com/office/drawing/2014/main" id="{00000000-0008-0000-0000-0000C8010000}"/>
            </a:ext>
          </a:extLst>
        </xdr:cNvPr>
        <xdr:cNvSpPr/>
      </xdr:nvSpPr>
      <xdr:spPr>
        <a:xfrm>
          <a:off x="506348" y="567785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579</xdr:row>
      <xdr:rowOff>0</xdr:rowOff>
    </xdr:from>
    <xdr:to>
      <xdr:col>14</xdr:col>
      <xdr:colOff>0</xdr:colOff>
      <xdr:row>580</xdr:row>
      <xdr:rowOff>0</xdr:rowOff>
    </xdr:to>
    <xdr:sp macro="" textlink="">
      <xdr:nvSpPr>
        <xdr:cNvPr id="458" name="Freeform 457">
          <a:extLst>
            <a:ext uri="{FF2B5EF4-FFF2-40B4-BE49-F238E27FC236}">
              <a16:creationId xmlns:a16="http://schemas.microsoft.com/office/drawing/2014/main" id="{00000000-0008-0000-0000-0000CA010000}"/>
            </a:ext>
          </a:extLst>
        </xdr:cNvPr>
        <xdr:cNvSpPr/>
      </xdr:nvSpPr>
      <xdr:spPr>
        <a:xfrm flipH="1">
          <a:off x="12134850" y="619982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579</xdr:row>
      <xdr:rowOff>50321</xdr:rowOff>
    </xdr:from>
    <xdr:to>
      <xdr:col>12</xdr:col>
      <xdr:colOff>316301</xdr:colOff>
      <xdr:row>579</xdr:row>
      <xdr:rowOff>294736</xdr:rowOff>
    </xdr:to>
    <xdr:sp macro="[0]!btnPlusBusFrm8825Areas_Click" textlink="">
      <xdr:nvSpPr>
        <xdr:cNvPr id="459" name="Plus 458">
          <a:extLst>
            <a:ext uri="{FF2B5EF4-FFF2-40B4-BE49-F238E27FC236}">
              <a16:creationId xmlns:a16="http://schemas.microsoft.com/office/drawing/2014/main" id="{00000000-0008-0000-0000-0000CB010000}"/>
            </a:ext>
          </a:extLst>
        </xdr:cNvPr>
        <xdr:cNvSpPr/>
      </xdr:nvSpPr>
      <xdr:spPr>
        <a:xfrm>
          <a:off x="11873361" y="620485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579</xdr:row>
      <xdr:rowOff>43132</xdr:rowOff>
    </xdr:from>
    <xdr:to>
      <xdr:col>13</xdr:col>
      <xdr:colOff>287548</xdr:colOff>
      <xdr:row>579</xdr:row>
      <xdr:rowOff>301925</xdr:rowOff>
    </xdr:to>
    <xdr:sp macro="[0]!btnMinusBusFrm8825Areas_Click" textlink="">
      <xdr:nvSpPr>
        <xdr:cNvPr id="460" name="Minus 459">
          <a:extLst>
            <a:ext uri="{FF2B5EF4-FFF2-40B4-BE49-F238E27FC236}">
              <a16:creationId xmlns:a16="http://schemas.microsoft.com/office/drawing/2014/main" id="{00000000-0008-0000-0000-0000CC010000}"/>
            </a:ext>
          </a:extLst>
        </xdr:cNvPr>
        <xdr:cNvSpPr/>
      </xdr:nvSpPr>
      <xdr:spPr>
        <a:xfrm>
          <a:off x="12163605" y="620413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579</xdr:row>
      <xdr:rowOff>0</xdr:rowOff>
    </xdr:from>
    <xdr:to>
      <xdr:col>3</xdr:col>
      <xdr:colOff>0</xdr:colOff>
      <xdr:row>580</xdr:row>
      <xdr:rowOff>0</xdr:rowOff>
    </xdr:to>
    <xdr:sp macro="" textlink="">
      <xdr:nvSpPr>
        <xdr:cNvPr id="461" name="Freeform 460">
          <a:extLst>
            <a:ext uri="{FF2B5EF4-FFF2-40B4-BE49-F238E27FC236}">
              <a16:creationId xmlns:a16="http://schemas.microsoft.com/office/drawing/2014/main" id="{00000000-0008-0000-0000-0000CD010000}"/>
            </a:ext>
          </a:extLst>
        </xdr:cNvPr>
        <xdr:cNvSpPr/>
      </xdr:nvSpPr>
      <xdr:spPr>
        <a:xfrm>
          <a:off x="506348" y="619982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596</xdr:row>
      <xdr:rowOff>0</xdr:rowOff>
    </xdr:from>
    <xdr:to>
      <xdr:col>14</xdr:col>
      <xdr:colOff>0</xdr:colOff>
      <xdr:row>597</xdr:row>
      <xdr:rowOff>0</xdr:rowOff>
    </xdr:to>
    <xdr:sp macro="" textlink="">
      <xdr:nvSpPr>
        <xdr:cNvPr id="463" name="Freeform 462">
          <a:extLst>
            <a:ext uri="{FF2B5EF4-FFF2-40B4-BE49-F238E27FC236}">
              <a16:creationId xmlns:a16="http://schemas.microsoft.com/office/drawing/2014/main" id="{00000000-0008-0000-0000-0000CF010000}"/>
            </a:ext>
          </a:extLst>
        </xdr:cNvPr>
        <xdr:cNvSpPr/>
      </xdr:nvSpPr>
      <xdr:spPr>
        <a:xfrm flipH="1">
          <a:off x="12134850" y="67217925"/>
          <a:ext cx="333375"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71886</xdr:colOff>
      <xdr:row>596</xdr:row>
      <xdr:rowOff>50321</xdr:rowOff>
    </xdr:from>
    <xdr:to>
      <xdr:col>12</xdr:col>
      <xdr:colOff>316301</xdr:colOff>
      <xdr:row>596</xdr:row>
      <xdr:rowOff>294736</xdr:rowOff>
    </xdr:to>
    <xdr:sp macro="[0]!btnPlusBusFrm8825Areas_Click" textlink="">
      <xdr:nvSpPr>
        <xdr:cNvPr id="464" name="Plus 463">
          <a:extLst>
            <a:ext uri="{FF2B5EF4-FFF2-40B4-BE49-F238E27FC236}">
              <a16:creationId xmlns:a16="http://schemas.microsoft.com/office/drawing/2014/main" id="{00000000-0008-0000-0000-0000D0010000}"/>
            </a:ext>
          </a:extLst>
        </xdr:cNvPr>
        <xdr:cNvSpPr/>
      </xdr:nvSpPr>
      <xdr:spPr>
        <a:xfrm>
          <a:off x="11873361" y="67268246"/>
          <a:ext cx="244415" cy="244415"/>
        </a:xfrm>
        <a:prstGeom prst="mathPlus">
          <a:avLst/>
        </a:prstGeom>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28755</xdr:colOff>
      <xdr:row>596</xdr:row>
      <xdr:rowOff>43132</xdr:rowOff>
    </xdr:from>
    <xdr:to>
      <xdr:col>13</xdr:col>
      <xdr:colOff>287548</xdr:colOff>
      <xdr:row>596</xdr:row>
      <xdr:rowOff>301925</xdr:rowOff>
    </xdr:to>
    <xdr:sp macro="[0]!btnMinusBusFrm8825Areas_Click" textlink="">
      <xdr:nvSpPr>
        <xdr:cNvPr id="465" name="Minus 464">
          <a:extLst>
            <a:ext uri="{FF2B5EF4-FFF2-40B4-BE49-F238E27FC236}">
              <a16:creationId xmlns:a16="http://schemas.microsoft.com/office/drawing/2014/main" id="{00000000-0008-0000-0000-0000D1010000}"/>
            </a:ext>
          </a:extLst>
        </xdr:cNvPr>
        <xdr:cNvSpPr/>
      </xdr:nvSpPr>
      <xdr:spPr>
        <a:xfrm>
          <a:off x="12163605" y="67261057"/>
          <a:ext cx="258793" cy="258793"/>
        </a:xfrm>
        <a:prstGeom prst="mathMinus">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1523</xdr:colOff>
      <xdr:row>596</xdr:row>
      <xdr:rowOff>0</xdr:rowOff>
    </xdr:from>
    <xdr:to>
      <xdr:col>3</xdr:col>
      <xdr:colOff>0</xdr:colOff>
      <xdr:row>597</xdr:row>
      <xdr:rowOff>0</xdr:rowOff>
    </xdr:to>
    <xdr:sp macro="" textlink="">
      <xdr:nvSpPr>
        <xdr:cNvPr id="466" name="Freeform 465">
          <a:extLst>
            <a:ext uri="{FF2B5EF4-FFF2-40B4-BE49-F238E27FC236}">
              <a16:creationId xmlns:a16="http://schemas.microsoft.com/office/drawing/2014/main" id="{00000000-0008-0000-0000-0000D2010000}"/>
            </a:ext>
          </a:extLst>
        </xdr:cNvPr>
        <xdr:cNvSpPr/>
      </xdr:nvSpPr>
      <xdr:spPr>
        <a:xfrm>
          <a:off x="506348" y="67217925"/>
          <a:ext cx="369952" cy="342900"/>
        </a:xfrm>
        <a:custGeom>
          <a:avLst/>
          <a:gdLst>
            <a:gd name="connsiteX0" fmla="*/ 362857 w 362857"/>
            <a:gd name="connsiteY0" fmla="*/ 0 h 319314"/>
            <a:gd name="connsiteX1" fmla="*/ 0 w 362857"/>
            <a:gd name="connsiteY1" fmla="*/ 304800 h 319314"/>
            <a:gd name="connsiteX2" fmla="*/ 362857 w 362857"/>
            <a:gd name="connsiteY2" fmla="*/ 319314 h 319314"/>
            <a:gd name="connsiteX3" fmla="*/ 362857 w 362857"/>
            <a:gd name="connsiteY3" fmla="*/ 0 h 319314"/>
            <a:gd name="connsiteX0" fmla="*/ 362857 w 362857"/>
            <a:gd name="connsiteY0" fmla="*/ 0 h 319314"/>
            <a:gd name="connsiteX1" fmla="*/ 101600 w 362857"/>
            <a:gd name="connsiteY1" fmla="*/ 43542 h 319314"/>
            <a:gd name="connsiteX2" fmla="*/ 0 w 362857"/>
            <a:gd name="connsiteY2" fmla="*/ 304800 h 319314"/>
            <a:gd name="connsiteX3" fmla="*/ 362857 w 362857"/>
            <a:gd name="connsiteY3" fmla="*/ 319314 h 319314"/>
            <a:gd name="connsiteX4" fmla="*/ 362857 w 362857"/>
            <a:gd name="connsiteY4" fmla="*/ 0 h 319314"/>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62857 w 362857"/>
            <a:gd name="connsiteY0" fmla="*/ 13551 h 332865"/>
            <a:gd name="connsiteX1" fmla="*/ 101600 w 362857"/>
            <a:gd name="connsiteY1" fmla="*/ 57093 h 332865"/>
            <a:gd name="connsiteX2" fmla="*/ 0 w 362857"/>
            <a:gd name="connsiteY2" fmla="*/ 318351 h 332865"/>
            <a:gd name="connsiteX3" fmla="*/ 362857 w 362857"/>
            <a:gd name="connsiteY3" fmla="*/ 332865 h 332865"/>
            <a:gd name="connsiteX4" fmla="*/ 362857 w 362857"/>
            <a:gd name="connsiteY4" fmla="*/ 13551 h 332865"/>
            <a:gd name="connsiteX0" fmla="*/ 374904 w 374904"/>
            <a:gd name="connsiteY0" fmla="*/ 0 h 348188"/>
            <a:gd name="connsiteX1" fmla="*/ 101600 w 374904"/>
            <a:gd name="connsiteY1" fmla="*/ 72416 h 348188"/>
            <a:gd name="connsiteX2" fmla="*/ 0 w 374904"/>
            <a:gd name="connsiteY2" fmla="*/ 333674 h 348188"/>
            <a:gd name="connsiteX3" fmla="*/ 362857 w 374904"/>
            <a:gd name="connsiteY3" fmla="*/ 348188 h 348188"/>
            <a:gd name="connsiteX4" fmla="*/ 374904 w 374904"/>
            <a:gd name="connsiteY4" fmla="*/ 0 h 348188"/>
            <a:gd name="connsiteX0" fmla="*/ 374904 w 374904"/>
            <a:gd name="connsiteY0" fmla="*/ 0 h 341004"/>
            <a:gd name="connsiteX1" fmla="*/ 101600 w 374904"/>
            <a:gd name="connsiteY1" fmla="*/ 72416 h 341004"/>
            <a:gd name="connsiteX2" fmla="*/ 0 w 374904"/>
            <a:gd name="connsiteY2" fmla="*/ 333674 h 341004"/>
            <a:gd name="connsiteX3" fmla="*/ 374903 w 374904"/>
            <a:gd name="connsiteY3" fmla="*/ 341004 h 341004"/>
            <a:gd name="connsiteX4" fmla="*/ 374904 w 374904"/>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5385 w 375385"/>
            <a:gd name="connsiteY0" fmla="*/ 0 h 341004"/>
            <a:gd name="connsiteX1" fmla="*/ 102081 w 375385"/>
            <a:gd name="connsiteY1" fmla="*/ 72416 h 341004"/>
            <a:gd name="connsiteX2" fmla="*/ 480 w 375385"/>
            <a:gd name="connsiteY2" fmla="*/ 341004 h 341004"/>
            <a:gd name="connsiteX3" fmla="*/ 375384 w 375385"/>
            <a:gd name="connsiteY3" fmla="*/ 341004 h 341004"/>
            <a:gd name="connsiteX4" fmla="*/ 375385 w 375385"/>
            <a:gd name="connsiteY4" fmla="*/ 0 h 341004"/>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9167 w 379167"/>
            <a:gd name="connsiteY0" fmla="*/ 1679 h 342683"/>
            <a:gd name="connsiteX1" fmla="*/ 105863 w 379167"/>
            <a:gd name="connsiteY1" fmla="*/ 74095 h 342683"/>
            <a:gd name="connsiteX2" fmla="*/ 4262 w 379167"/>
            <a:gd name="connsiteY2" fmla="*/ 342683 h 342683"/>
            <a:gd name="connsiteX3" fmla="*/ 379166 w 379167"/>
            <a:gd name="connsiteY3" fmla="*/ 342683 h 342683"/>
            <a:gd name="connsiteX4" fmla="*/ 379167 w 379167"/>
            <a:gd name="connsiteY4" fmla="*/ 1679 h 342683"/>
            <a:gd name="connsiteX0" fmla="*/ 379167 w 379167"/>
            <a:gd name="connsiteY0" fmla="*/ 8562 h 349566"/>
            <a:gd name="connsiteX1" fmla="*/ 105863 w 379167"/>
            <a:gd name="connsiteY1" fmla="*/ 80978 h 349566"/>
            <a:gd name="connsiteX2" fmla="*/ 4262 w 379167"/>
            <a:gd name="connsiteY2" fmla="*/ 349566 h 349566"/>
            <a:gd name="connsiteX3" fmla="*/ 379166 w 379167"/>
            <a:gd name="connsiteY3" fmla="*/ 349566 h 349566"/>
            <a:gd name="connsiteX4" fmla="*/ 379167 w 379167"/>
            <a:gd name="connsiteY4" fmla="*/ 8562 h 349566"/>
            <a:gd name="connsiteX0" fmla="*/ 379167 w 379167"/>
            <a:gd name="connsiteY0" fmla="*/ 0 h 341004"/>
            <a:gd name="connsiteX1" fmla="*/ 105863 w 379167"/>
            <a:gd name="connsiteY1" fmla="*/ 72416 h 341004"/>
            <a:gd name="connsiteX2" fmla="*/ 4262 w 379167"/>
            <a:gd name="connsiteY2" fmla="*/ 341004 h 341004"/>
            <a:gd name="connsiteX3" fmla="*/ 379166 w 379167"/>
            <a:gd name="connsiteY3" fmla="*/ 341004 h 341004"/>
            <a:gd name="connsiteX4" fmla="*/ 379167 w 379167"/>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101601 w 374905"/>
            <a:gd name="connsiteY1" fmla="*/ 72416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90077 w 374905"/>
            <a:gd name="connsiteY1" fmla="*/ 7052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49683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 name="connsiteX0" fmla="*/ 374905 w 374905"/>
            <a:gd name="connsiteY0" fmla="*/ 0 h 341004"/>
            <a:gd name="connsiteX1" fmla="*/ 88157 w 374905"/>
            <a:gd name="connsiteY1" fmla="*/ 53472 h 341004"/>
            <a:gd name="connsiteX2" fmla="*/ 0 w 374905"/>
            <a:gd name="connsiteY2" fmla="*/ 341004 h 341004"/>
            <a:gd name="connsiteX3" fmla="*/ 374904 w 374905"/>
            <a:gd name="connsiteY3" fmla="*/ 341004 h 341004"/>
            <a:gd name="connsiteX4" fmla="*/ 374905 w 374905"/>
            <a:gd name="connsiteY4" fmla="*/ 0 h 34100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74905" h="341004">
              <a:moveTo>
                <a:pt x="374905" y="0"/>
              </a:moveTo>
              <a:cubicBezTo>
                <a:pt x="218610" y="4837"/>
                <a:pt x="198337" y="-7117"/>
                <a:pt x="88157" y="53472"/>
              </a:cubicBezTo>
              <a:cubicBezTo>
                <a:pt x="45616" y="103922"/>
                <a:pt x="12531" y="112085"/>
                <a:pt x="0" y="341004"/>
              </a:cubicBezTo>
              <a:lnTo>
                <a:pt x="374904" y="341004"/>
              </a:lnTo>
              <a:cubicBezTo>
                <a:pt x="374904" y="227336"/>
                <a:pt x="374905" y="113668"/>
                <a:pt x="374905" y="0"/>
              </a:cubicBezTo>
              <a:close/>
            </a:path>
          </a:pathLst>
        </a:custGeom>
        <a:solidFill>
          <a:srgbClr val="00B3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1480186</xdr:colOff>
      <xdr:row>40</xdr:row>
      <xdr:rowOff>111166</xdr:rowOff>
    </xdr:from>
    <xdr:to>
      <xdr:col>4</xdr:col>
      <xdr:colOff>1630680</xdr:colOff>
      <xdr:row>40</xdr:row>
      <xdr:rowOff>274319</xdr:rowOff>
    </xdr:to>
    <xdr:pic macro="[0]!btnPrimResSchEInfo_Click">
      <xdr:nvPicPr>
        <xdr:cNvPr id="468" name="Picture 467">
          <a:extLst>
            <a:ext uri="{FF2B5EF4-FFF2-40B4-BE49-F238E27FC236}">
              <a16:creationId xmlns:a16="http://schemas.microsoft.com/office/drawing/2014/main" id="{00000000-0008-0000-0000-0000D4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6719" y="7883566"/>
          <a:ext cx="150494" cy="163153"/>
        </a:xfrm>
        <a:prstGeom prst="rect">
          <a:avLst/>
        </a:prstGeom>
      </xdr:spPr>
    </xdr:pic>
    <xdr:clientData/>
  </xdr:twoCellAnchor>
  <xdr:twoCellAnchor>
    <xdr:from>
      <xdr:col>4</xdr:col>
      <xdr:colOff>1480186</xdr:colOff>
      <xdr:row>55</xdr:row>
      <xdr:rowOff>111166</xdr:rowOff>
    </xdr:from>
    <xdr:to>
      <xdr:col>4</xdr:col>
      <xdr:colOff>1630680</xdr:colOff>
      <xdr:row>55</xdr:row>
      <xdr:rowOff>274319</xdr:rowOff>
    </xdr:to>
    <xdr:pic macro="[0]!btnPrimResSchEInfo_Click">
      <xdr:nvPicPr>
        <xdr:cNvPr id="469" name="Picture 468">
          <a:extLst>
            <a:ext uri="{FF2B5EF4-FFF2-40B4-BE49-F238E27FC236}">
              <a16:creationId xmlns:a16="http://schemas.microsoft.com/office/drawing/2014/main" id="{00000000-0008-0000-0000-0000D5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6719" y="7883566"/>
          <a:ext cx="150494" cy="163153"/>
        </a:xfrm>
        <a:prstGeom prst="rect">
          <a:avLst/>
        </a:prstGeom>
      </xdr:spPr>
    </xdr:pic>
    <xdr:clientData/>
  </xdr:twoCellAnchor>
  <xdr:twoCellAnchor>
    <xdr:from>
      <xdr:col>5</xdr:col>
      <xdr:colOff>127636</xdr:colOff>
      <xdr:row>289</xdr:row>
      <xdr:rowOff>111166</xdr:rowOff>
    </xdr:from>
    <xdr:to>
      <xdr:col>5</xdr:col>
      <xdr:colOff>278130</xdr:colOff>
      <xdr:row>289</xdr:row>
      <xdr:rowOff>274319</xdr:rowOff>
    </xdr:to>
    <xdr:pic macro="[0]!btnInvSchEInfo_Click">
      <xdr:nvPicPr>
        <xdr:cNvPr id="470" name="Picture 469">
          <a:extLst>
            <a:ext uri="{FF2B5EF4-FFF2-40B4-BE49-F238E27FC236}">
              <a16:creationId xmlns:a16="http://schemas.microsoft.com/office/drawing/2014/main" id="{00000000-0008-0000-0000-0000D6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30286366"/>
          <a:ext cx="150494" cy="163153"/>
        </a:xfrm>
        <a:prstGeom prst="rect">
          <a:avLst/>
        </a:prstGeom>
      </xdr:spPr>
    </xdr:pic>
    <xdr:clientData/>
  </xdr:twoCellAnchor>
  <xdr:twoCellAnchor>
    <xdr:from>
      <xdr:col>5</xdr:col>
      <xdr:colOff>127636</xdr:colOff>
      <xdr:row>272</xdr:row>
      <xdr:rowOff>111166</xdr:rowOff>
    </xdr:from>
    <xdr:to>
      <xdr:col>5</xdr:col>
      <xdr:colOff>278130</xdr:colOff>
      <xdr:row>272</xdr:row>
      <xdr:rowOff>274319</xdr:rowOff>
    </xdr:to>
    <xdr:pic macro="[0]!btnInvSchEInfo_Click">
      <xdr:nvPicPr>
        <xdr:cNvPr id="471" name="Picture 470">
          <a:extLst>
            <a:ext uri="{FF2B5EF4-FFF2-40B4-BE49-F238E27FC236}">
              <a16:creationId xmlns:a16="http://schemas.microsoft.com/office/drawing/2014/main" id="{00000000-0008-0000-0000-0000D7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51613899"/>
          <a:ext cx="150494" cy="163153"/>
        </a:xfrm>
        <a:prstGeom prst="rect">
          <a:avLst/>
        </a:prstGeom>
      </xdr:spPr>
    </xdr:pic>
    <xdr:clientData/>
  </xdr:twoCellAnchor>
  <xdr:twoCellAnchor>
    <xdr:from>
      <xdr:col>5</xdr:col>
      <xdr:colOff>127636</xdr:colOff>
      <xdr:row>255</xdr:row>
      <xdr:rowOff>111166</xdr:rowOff>
    </xdr:from>
    <xdr:to>
      <xdr:col>5</xdr:col>
      <xdr:colOff>278130</xdr:colOff>
      <xdr:row>255</xdr:row>
      <xdr:rowOff>274319</xdr:rowOff>
    </xdr:to>
    <xdr:pic macro="[0]!btnInvSchEInfo_Click">
      <xdr:nvPicPr>
        <xdr:cNvPr id="472" name="Picture 471">
          <a:extLst>
            <a:ext uri="{FF2B5EF4-FFF2-40B4-BE49-F238E27FC236}">
              <a16:creationId xmlns:a16="http://schemas.microsoft.com/office/drawing/2014/main" id="{00000000-0008-0000-0000-0000D8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50420099"/>
          <a:ext cx="150494" cy="163153"/>
        </a:xfrm>
        <a:prstGeom prst="rect">
          <a:avLst/>
        </a:prstGeom>
      </xdr:spPr>
    </xdr:pic>
    <xdr:clientData/>
  </xdr:twoCellAnchor>
  <xdr:twoCellAnchor>
    <xdr:from>
      <xdr:col>5</xdr:col>
      <xdr:colOff>127636</xdr:colOff>
      <xdr:row>238</xdr:row>
      <xdr:rowOff>111166</xdr:rowOff>
    </xdr:from>
    <xdr:to>
      <xdr:col>5</xdr:col>
      <xdr:colOff>278130</xdr:colOff>
      <xdr:row>238</xdr:row>
      <xdr:rowOff>274319</xdr:rowOff>
    </xdr:to>
    <xdr:pic macro="[0]!btnInvSchEInfo_Click">
      <xdr:nvPicPr>
        <xdr:cNvPr id="474" name="Picture 473">
          <a:extLst>
            <a:ext uri="{FF2B5EF4-FFF2-40B4-BE49-F238E27FC236}">
              <a16:creationId xmlns:a16="http://schemas.microsoft.com/office/drawing/2014/main" id="{00000000-0008-0000-0000-0000DA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9226299"/>
          <a:ext cx="150494" cy="163153"/>
        </a:xfrm>
        <a:prstGeom prst="rect">
          <a:avLst/>
        </a:prstGeom>
      </xdr:spPr>
    </xdr:pic>
    <xdr:clientData/>
  </xdr:twoCellAnchor>
  <xdr:twoCellAnchor>
    <xdr:from>
      <xdr:col>5</xdr:col>
      <xdr:colOff>127636</xdr:colOff>
      <xdr:row>221</xdr:row>
      <xdr:rowOff>111166</xdr:rowOff>
    </xdr:from>
    <xdr:to>
      <xdr:col>5</xdr:col>
      <xdr:colOff>278130</xdr:colOff>
      <xdr:row>221</xdr:row>
      <xdr:rowOff>274319</xdr:rowOff>
    </xdr:to>
    <xdr:pic macro="[0]!btnInvSchEInfo_Click">
      <xdr:nvPicPr>
        <xdr:cNvPr id="475" name="Picture 474">
          <a:extLst>
            <a:ext uri="{FF2B5EF4-FFF2-40B4-BE49-F238E27FC236}">
              <a16:creationId xmlns:a16="http://schemas.microsoft.com/office/drawing/2014/main" id="{00000000-0008-0000-0000-0000DB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8032499"/>
          <a:ext cx="150494" cy="163153"/>
        </a:xfrm>
        <a:prstGeom prst="rect">
          <a:avLst/>
        </a:prstGeom>
      </xdr:spPr>
    </xdr:pic>
    <xdr:clientData/>
  </xdr:twoCellAnchor>
  <xdr:twoCellAnchor>
    <xdr:from>
      <xdr:col>5</xdr:col>
      <xdr:colOff>127636</xdr:colOff>
      <xdr:row>204</xdr:row>
      <xdr:rowOff>111166</xdr:rowOff>
    </xdr:from>
    <xdr:to>
      <xdr:col>5</xdr:col>
      <xdr:colOff>278130</xdr:colOff>
      <xdr:row>204</xdr:row>
      <xdr:rowOff>274319</xdr:rowOff>
    </xdr:to>
    <xdr:pic macro="[0]!btnInvSchEInfo_Click">
      <xdr:nvPicPr>
        <xdr:cNvPr id="476" name="Picture 475">
          <a:extLst>
            <a:ext uri="{FF2B5EF4-FFF2-40B4-BE49-F238E27FC236}">
              <a16:creationId xmlns:a16="http://schemas.microsoft.com/office/drawing/2014/main" id="{00000000-0008-0000-0000-0000DC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6838699"/>
          <a:ext cx="150494" cy="163153"/>
        </a:xfrm>
        <a:prstGeom prst="rect">
          <a:avLst/>
        </a:prstGeom>
      </xdr:spPr>
    </xdr:pic>
    <xdr:clientData/>
  </xdr:twoCellAnchor>
  <xdr:twoCellAnchor>
    <xdr:from>
      <xdr:col>5</xdr:col>
      <xdr:colOff>127636</xdr:colOff>
      <xdr:row>187</xdr:row>
      <xdr:rowOff>111166</xdr:rowOff>
    </xdr:from>
    <xdr:to>
      <xdr:col>5</xdr:col>
      <xdr:colOff>278130</xdr:colOff>
      <xdr:row>187</xdr:row>
      <xdr:rowOff>274319</xdr:rowOff>
    </xdr:to>
    <xdr:pic macro="[0]!btnInvSchEInfo_Click">
      <xdr:nvPicPr>
        <xdr:cNvPr id="477" name="Picture 476">
          <a:extLst>
            <a:ext uri="{FF2B5EF4-FFF2-40B4-BE49-F238E27FC236}">
              <a16:creationId xmlns:a16="http://schemas.microsoft.com/office/drawing/2014/main" id="{00000000-0008-0000-0000-0000DD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5644899"/>
          <a:ext cx="150494" cy="163153"/>
        </a:xfrm>
        <a:prstGeom prst="rect">
          <a:avLst/>
        </a:prstGeom>
      </xdr:spPr>
    </xdr:pic>
    <xdr:clientData/>
  </xdr:twoCellAnchor>
  <xdr:twoCellAnchor>
    <xdr:from>
      <xdr:col>5</xdr:col>
      <xdr:colOff>127636</xdr:colOff>
      <xdr:row>170</xdr:row>
      <xdr:rowOff>111166</xdr:rowOff>
    </xdr:from>
    <xdr:to>
      <xdr:col>5</xdr:col>
      <xdr:colOff>278130</xdr:colOff>
      <xdr:row>170</xdr:row>
      <xdr:rowOff>274319</xdr:rowOff>
    </xdr:to>
    <xdr:pic macro="[0]!btnInvSchEInfo_Click">
      <xdr:nvPicPr>
        <xdr:cNvPr id="478" name="Picture 477">
          <a:extLst>
            <a:ext uri="{FF2B5EF4-FFF2-40B4-BE49-F238E27FC236}">
              <a16:creationId xmlns:a16="http://schemas.microsoft.com/office/drawing/2014/main" id="{00000000-0008-0000-0000-0000DE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4451099"/>
          <a:ext cx="150494" cy="163153"/>
        </a:xfrm>
        <a:prstGeom prst="rect">
          <a:avLst/>
        </a:prstGeom>
      </xdr:spPr>
    </xdr:pic>
    <xdr:clientData/>
  </xdr:twoCellAnchor>
  <xdr:twoCellAnchor>
    <xdr:from>
      <xdr:col>5</xdr:col>
      <xdr:colOff>127636</xdr:colOff>
      <xdr:row>153</xdr:row>
      <xdr:rowOff>111166</xdr:rowOff>
    </xdr:from>
    <xdr:to>
      <xdr:col>5</xdr:col>
      <xdr:colOff>278130</xdr:colOff>
      <xdr:row>153</xdr:row>
      <xdr:rowOff>274319</xdr:rowOff>
    </xdr:to>
    <xdr:pic macro="[0]!btnInvSchEInfo_Click">
      <xdr:nvPicPr>
        <xdr:cNvPr id="479" name="Picture 478">
          <a:extLst>
            <a:ext uri="{FF2B5EF4-FFF2-40B4-BE49-F238E27FC236}">
              <a16:creationId xmlns:a16="http://schemas.microsoft.com/office/drawing/2014/main" id="{00000000-0008-0000-0000-0000DF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3257299"/>
          <a:ext cx="150494" cy="163153"/>
        </a:xfrm>
        <a:prstGeom prst="rect">
          <a:avLst/>
        </a:prstGeom>
      </xdr:spPr>
    </xdr:pic>
    <xdr:clientData/>
  </xdr:twoCellAnchor>
  <xdr:twoCellAnchor>
    <xdr:from>
      <xdr:col>5</xdr:col>
      <xdr:colOff>127636</xdr:colOff>
      <xdr:row>136</xdr:row>
      <xdr:rowOff>111166</xdr:rowOff>
    </xdr:from>
    <xdr:to>
      <xdr:col>5</xdr:col>
      <xdr:colOff>278130</xdr:colOff>
      <xdr:row>136</xdr:row>
      <xdr:rowOff>274319</xdr:rowOff>
    </xdr:to>
    <xdr:pic macro="[0]!btnInvSchEInfo_Click">
      <xdr:nvPicPr>
        <xdr:cNvPr id="480" name="Picture 479">
          <a:extLst>
            <a:ext uri="{FF2B5EF4-FFF2-40B4-BE49-F238E27FC236}">
              <a16:creationId xmlns:a16="http://schemas.microsoft.com/office/drawing/2014/main" id="{00000000-0008-0000-0000-0000E0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2063499"/>
          <a:ext cx="150494" cy="163153"/>
        </a:xfrm>
        <a:prstGeom prst="rect">
          <a:avLst/>
        </a:prstGeom>
      </xdr:spPr>
    </xdr:pic>
    <xdr:clientData/>
  </xdr:twoCellAnchor>
  <xdr:twoCellAnchor>
    <xdr:from>
      <xdr:col>5</xdr:col>
      <xdr:colOff>127636</xdr:colOff>
      <xdr:row>119</xdr:row>
      <xdr:rowOff>111166</xdr:rowOff>
    </xdr:from>
    <xdr:to>
      <xdr:col>5</xdr:col>
      <xdr:colOff>278130</xdr:colOff>
      <xdr:row>119</xdr:row>
      <xdr:rowOff>274319</xdr:rowOff>
    </xdr:to>
    <xdr:pic macro="[0]!btnInvSchEInfo_Click">
      <xdr:nvPicPr>
        <xdr:cNvPr id="481" name="Picture 480">
          <a:extLst>
            <a:ext uri="{FF2B5EF4-FFF2-40B4-BE49-F238E27FC236}">
              <a16:creationId xmlns:a16="http://schemas.microsoft.com/office/drawing/2014/main" id="{00000000-0008-0000-0000-0000E1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40869699"/>
          <a:ext cx="150494" cy="163153"/>
        </a:xfrm>
        <a:prstGeom prst="rect">
          <a:avLst/>
        </a:prstGeom>
      </xdr:spPr>
    </xdr:pic>
    <xdr:clientData/>
  </xdr:twoCellAnchor>
  <xdr:twoCellAnchor>
    <xdr:from>
      <xdr:col>5</xdr:col>
      <xdr:colOff>127636</xdr:colOff>
      <xdr:row>610</xdr:row>
      <xdr:rowOff>111166</xdr:rowOff>
    </xdr:from>
    <xdr:to>
      <xdr:col>5</xdr:col>
      <xdr:colOff>278130</xdr:colOff>
      <xdr:row>610</xdr:row>
      <xdr:rowOff>274319</xdr:rowOff>
    </xdr:to>
    <xdr:pic macro="[0]!btnBusRentFrm8825Info_Click">
      <xdr:nvPicPr>
        <xdr:cNvPr id="482" name="Picture 481">
          <a:extLst>
            <a:ext uri="{FF2B5EF4-FFF2-40B4-BE49-F238E27FC236}">
              <a16:creationId xmlns:a16="http://schemas.microsoft.com/office/drawing/2014/main" id="{00000000-0008-0000-0000-0000E2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27712299"/>
          <a:ext cx="150494" cy="163153"/>
        </a:xfrm>
        <a:prstGeom prst="rect">
          <a:avLst/>
        </a:prstGeom>
      </xdr:spPr>
    </xdr:pic>
    <xdr:clientData/>
  </xdr:twoCellAnchor>
  <xdr:twoCellAnchor>
    <xdr:from>
      <xdr:col>5</xdr:col>
      <xdr:colOff>127636</xdr:colOff>
      <xdr:row>593</xdr:row>
      <xdr:rowOff>111166</xdr:rowOff>
    </xdr:from>
    <xdr:to>
      <xdr:col>5</xdr:col>
      <xdr:colOff>278130</xdr:colOff>
      <xdr:row>593</xdr:row>
      <xdr:rowOff>274319</xdr:rowOff>
    </xdr:to>
    <xdr:pic macro="[0]!btnBusRentFrm8825Info_Click">
      <xdr:nvPicPr>
        <xdr:cNvPr id="483" name="Picture 482">
          <a:extLst>
            <a:ext uri="{FF2B5EF4-FFF2-40B4-BE49-F238E27FC236}">
              <a16:creationId xmlns:a16="http://schemas.microsoft.com/office/drawing/2014/main" id="{00000000-0008-0000-0000-0000E3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9039833"/>
          <a:ext cx="150494" cy="163153"/>
        </a:xfrm>
        <a:prstGeom prst="rect">
          <a:avLst/>
        </a:prstGeom>
      </xdr:spPr>
    </xdr:pic>
    <xdr:clientData/>
  </xdr:twoCellAnchor>
  <xdr:twoCellAnchor>
    <xdr:from>
      <xdr:col>5</xdr:col>
      <xdr:colOff>127636</xdr:colOff>
      <xdr:row>576</xdr:row>
      <xdr:rowOff>111166</xdr:rowOff>
    </xdr:from>
    <xdr:to>
      <xdr:col>5</xdr:col>
      <xdr:colOff>278130</xdr:colOff>
      <xdr:row>576</xdr:row>
      <xdr:rowOff>274319</xdr:rowOff>
    </xdr:to>
    <xdr:pic macro="[0]!btnBusRentFrm8825Info_Click">
      <xdr:nvPicPr>
        <xdr:cNvPr id="484" name="Picture 483">
          <a:extLst>
            <a:ext uri="{FF2B5EF4-FFF2-40B4-BE49-F238E27FC236}">
              <a16:creationId xmlns:a16="http://schemas.microsoft.com/office/drawing/2014/main" id="{00000000-0008-0000-0000-0000E4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7846033"/>
          <a:ext cx="150494" cy="163153"/>
        </a:xfrm>
        <a:prstGeom prst="rect">
          <a:avLst/>
        </a:prstGeom>
      </xdr:spPr>
    </xdr:pic>
    <xdr:clientData/>
  </xdr:twoCellAnchor>
  <xdr:twoCellAnchor>
    <xdr:from>
      <xdr:col>5</xdr:col>
      <xdr:colOff>127636</xdr:colOff>
      <xdr:row>559</xdr:row>
      <xdr:rowOff>111166</xdr:rowOff>
    </xdr:from>
    <xdr:to>
      <xdr:col>5</xdr:col>
      <xdr:colOff>278130</xdr:colOff>
      <xdr:row>559</xdr:row>
      <xdr:rowOff>274319</xdr:rowOff>
    </xdr:to>
    <xdr:pic macro="[0]!btnBusRentFrm8825Info_Click">
      <xdr:nvPicPr>
        <xdr:cNvPr id="485" name="Picture 484">
          <a:extLst>
            <a:ext uri="{FF2B5EF4-FFF2-40B4-BE49-F238E27FC236}">
              <a16:creationId xmlns:a16="http://schemas.microsoft.com/office/drawing/2014/main" id="{00000000-0008-0000-0000-0000E5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6652233"/>
          <a:ext cx="150494" cy="163153"/>
        </a:xfrm>
        <a:prstGeom prst="rect">
          <a:avLst/>
        </a:prstGeom>
      </xdr:spPr>
    </xdr:pic>
    <xdr:clientData/>
  </xdr:twoCellAnchor>
  <xdr:twoCellAnchor>
    <xdr:from>
      <xdr:col>5</xdr:col>
      <xdr:colOff>127636</xdr:colOff>
      <xdr:row>542</xdr:row>
      <xdr:rowOff>111166</xdr:rowOff>
    </xdr:from>
    <xdr:to>
      <xdr:col>5</xdr:col>
      <xdr:colOff>278130</xdr:colOff>
      <xdr:row>542</xdr:row>
      <xdr:rowOff>274319</xdr:rowOff>
    </xdr:to>
    <xdr:pic macro="[0]!btnBusRentFrm8825Info_Click">
      <xdr:nvPicPr>
        <xdr:cNvPr id="486" name="Picture 485">
          <a:extLst>
            <a:ext uri="{FF2B5EF4-FFF2-40B4-BE49-F238E27FC236}">
              <a16:creationId xmlns:a16="http://schemas.microsoft.com/office/drawing/2014/main" id="{00000000-0008-0000-0000-0000E6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5458433"/>
          <a:ext cx="150494" cy="163153"/>
        </a:xfrm>
        <a:prstGeom prst="rect">
          <a:avLst/>
        </a:prstGeom>
      </xdr:spPr>
    </xdr:pic>
    <xdr:clientData/>
  </xdr:twoCellAnchor>
  <xdr:twoCellAnchor>
    <xdr:from>
      <xdr:col>5</xdr:col>
      <xdr:colOff>127636</xdr:colOff>
      <xdr:row>525</xdr:row>
      <xdr:rowOff>111166</xdr:rowOff>
    </xdr:from>
    <xdr:to>
      <xdr:col>5</xdr:col>
      <xdr:colOff>278130</xdr:colOff>
      <xdr:row>525</xdr:row>
      <xdr:rowOff>274319</xdr:rowOff>
    </xdr:to>
    <xdr:pic macro="[0]!btnBusRentFrm8825Info_Click">
      <xdr:nvPicPr>
        <xdr:cNvPr id="487" name="Picture 486">
          <a:extLst>
            <a:ext uri="{FF2B5EF4-FFF2-40B4-BE49-F238E27FC236}">
              <a16:creationId xmlns:a16="http://schemas.microsoft.com/office/drawing/2014/main" id="{00000000-0008-0000-0000-0000E7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4264633"/>
          <a:ext cx="150494" cy="163153"/>
        </a:xfrm>
        <a:prstGeom prst="rect">
          <a:avLst/>
        </a:prstGeom>
      </xdr:spPr>
    </xdr:pic>
    <xdr:clientData/>
  </xdr:twoCellAnchor>
  <xdr:twoCellAnchor>
    <xdr:from>
      <xdr:col>5</xdr:col>
      <xdr:colOff>127636</xdr:colOff>
      <xdr:row>508</xdr:row>
      <xdr:rowOff>111166</xdr:rowOff>
    </xdr:from>
    <xdr:to>
      <xdr:col>5</xdr:col>
      <xdr:colOff>278130</xdr:colOff>
      <xdr:row>508</xdr:row>
      <xdr:rowOff>274319</xdr:rowOff>
    </xdr:to>
    <xdr:pic macro="[0]!btnBusRentFrm8825Info_Click">
      <xdr:nvPicPr>
        <xdr:cNvPr id="488" name="Picture 487">
          <a:extLst>
            <a:ext uri="{FF2B5EF4-FFF2-40B4-BE49-F238E27FC236}">
              <a16:creationId xmlns:a16="http://schemas.microsoft.com/office/drawing/2014/main" id="{00000000-0008-0000-0000-0000E8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3070833"/>
          <a:ext cx="150494" cy="163153"/>
        </a:xfrm>
        <a:prstGeom prst="rect">
          <a:avLst/>
        </a:prstGeom>
      </xdr:spPr>
    </xdr:pic>
    <xdr:clientData/>
  </xdr:twoCellAnchor>
  <xdr:twoCellAnchor>
    <xdr:from>
      <xdr:col>5</xdr:col>
      <xdr:colOff>127636</xdr:colOff>
      <xdr:row>491</xdr:row>
      <xdr:rowOff>111166</xdr:rowOff>
    </xdr:from>
    <xdr:to>
      <xdr:col>5</xdr:col>
      <xdr:colOff>278130</xdr:colOff>
      <xdr:row>491</xdr:row>
      <xdr:rowOff>274319</xdr:rowOff>
    </xdr:to>
    <xdr:pic macro="[0]!btnBusRentFrm8825Info_Click">
      <xdr:nvPicPr>
        <xdr:cNvPr id="489" name="Picture 488">
          <a:extLst>
            <a:ext uri="{FF2B5EF4-FFF2-40B4-BE49-F238E27FC236}">
              <a16:creationId xmlns:a16="http://schemas.microsoft.com/office/drawing/2014/main" id="{00000000-0008-0000-0000-0000E9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1877033"/>
          <a:ext cx="150494" cy="163153"/>
        </a:xfrm>
        <a:prstGeom prst="rect">
          <a:avLst/>
        </a:prstGeom>
      </xdr:spPr>
    </xdr:pic>
    <xdr:clientData/>
  </xdr:twoCellAnchor>
  <xdr:twoCellAnchor>
    <xdr:from>
      <xdr:col>5</xdr:col>
      <xdr:colOff>127636</xdr:colOff>
      <xdr:row>474</xdr:row>
      <xdr:rowOff>111166</xdr:rowOff>
    </xdr:from>
    <xdr:to>
      <xdr:col>5</xdr:col>
      <xdr:colOff>278130</xdr:colOff>
      <xdr:row>474</xdr:row>
      <xdr:rowOff>274319</xdr:rowOff>
    </xdr:to>
    <xdr:pic macro="[0]!btnBusRentFrm8825Info_Click">
      <xdr:nvPicPr>
        <xdr:cNvPr id="490" name="Picture 489">
          <a:extLst>
            <a:ext uri="{FF2B5EF4-FFF2-40B4-BE49-F238E27FC236}">
              <a16:creationId xmlns:a16="http://schemas.microsoft.com/office/drawing/2014/main" id="{00000000-0008-0000-0000-0000EA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40683233"/>
          <a:ext cx="150494" cy="163153"/>
        </a:xfrm>
        <a:prstGeom prst="rect">
          <a:avLst/>
        </a:prstGeom>
      </xdr:spPr>
    </xdr:pic>
    <xdr:clientData/>
  </xdr:twoCellAnchor>
  <xdr:twoCellAnchor>
    <xdr:from>
      <xdr:col>5</xdr:col>
      <xdr:colOff>127636</xdr:colOff>
      <xdr:row>457</xdr:row>
      <xdr:rowOff>111166</xdr:rowOff>
    </xdr:from>
    <xdr:to>
      <xdr:col>5</xdr:col>
      <xdr:colOff>278130</xdr:colOff>
      <xdr:row>457</xdr:row>
      <xdr:rowOff>274319</xdr:rowOff>
    </xdr:to>
    <xdr:pic macro="[0]!btnBusRentFrm8825Info_Click">
      <xdr:nvPicPr>
        <xdr:cNvPr id="491" name="Picture 490">
          <a:extLst>
            <a:ext uri="{FF2B5EF4-FFF2-40B4-BE49-F238E27FC236}">
              <a16:creationId xmlns:a16="http://schemas.microsoft.com/office/drawing/2014/main" id="{00000000-0008-0000-0000-0000EB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39489433"/>
          <a:ext cx="150494" cy="163153"/>
        </a:xfrm>
        <a:prstGeom prst="rect">
          <a:avLst/>
        </a:prstGeom>
      </xdr:spPr>
    </xdr:pic>
    <xdr:clientData/>
  </xdr:twoCellAnchor>
  <xdr:twoCellAnchor>
    <xdr:from>
      <xdr:col>5</xdr:col>
      <xdr:colOff>127636</xdr:colOff>
      <xdr:row>440</xdr:row>
      <xdr:rowOff>111166</xdr:rowOff>
    </xdr:from>
    <xdr:to>
      <xdr:col>5</xdr:col>
      <xdr:colOff>278130</xdr:colOff>
      <xdr:row>440</xdr:row>
      <xdr:rowOff>274319</xdr:rowOff>
    </xdr:to>
    <xdr:pic macro="[0]!btnBusRentFrm8825Info_Click">
      <xdr:nvPicPr>
        <xdr:cNvPr id="492" name="Picture 491">
          <a:extLst>
            <a:ext uri="{FF2B5EF4-FFF2-40B4-BE49-F238E27FC236}">
              <a16:creationId xmlns:a16="http://schemas.microsoft.com/office/drawing/2014/main" id="{00000000-0008-0000-0000-0000EC01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2903" y="138295633"/>
          <a:ext cx="150494" cy="163153"/>
        </a:xfrm>
        <a:prstGeom prst="rect">
          <a:avLst/>
        </a:prstGeom>
      </xdr:spPr>
    </xdr:pic>
    <xdr:clientData/>
  </xdr:twoCellAnchor>
  <xdr:twoCellAnchor>
    <xdr:from>
      <xdr:col>7</xdr:col>
      <xdr:colOff>685800</xdr:colOff>
      <xdr:row>7</xdr:row>
      <xdr:rowOff>110066</xdr:rowOff>
    </xdr:from>
    <xdr:to>
      <xdr:col>7</xdr:col>
      <xdr:colOff>808007</xdr:colOff>
      <xdr:row>7</xdr:row>
      <xdr:rowOff>246651</xdr:rowOff>
    </xdr:to>
    <xdr:sp macro="" textlink="">
      <xdr:nvSpPr>
        <xdr:cNvPr id="362" name="Right Arrow 361">
          <a:extLst>
            <a:ext uri="{FF2B5EF4-FFF2-40B4-BE49-F238E27FC236}">
              <a16:creationId xmlns:a16="http://schemas.microsoft.com/office/drawing/2014/main" id="{00000000-0008-0000-0000-00006A010000}"/>
            </a:ext>
          </a:extLst>
        </xdr:cNvPr>
        <xdr:cNvSpPr/>
      </xdr:nvSpPr>
      <xdr:spPr>
        <a:xfrm>
          <a:off x="7010400" y="2836333"/>
          <a:ext cx="122207" cy="136585"/>
        </a:xfrm>
        <a:prstGeom prst="rightArrow">
          <a:avLst/>
        </a:prstGeom>
        <a:solidFill>
          <a:schemeClr val="bg1"/>
        </a:solidFill>
        <a:ln w="12700" cap="flat" cmpd="sng" algn="ctr">
          <a:solidFill>
            <a:schemeClr val="accent1">
              <a:lumMod val="20000"/>
              <a:lumOff val="80000"/>
            </a:scheme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gic.com\filestores\My%20Documents\My%20Work\My%20Robert%20Half\My%20Jobs\2020\20200120-MGIC-Rental\01_13_SAM_FINAL-DEV-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y%20Documents\My%20Work\My%20Robert%20Half\My%20Jobs\2020\20200209-MGIC-Hyper\02_09_SAM_FINAL_H.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y%20Documents\My%20Work\My%20MGIC\2022\02\20220206_1817-SAM\02_06_22_PL_SAM-%20UNLOCK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
      <sheetName val="LOOKUPS"/>
      <sheetName val="_SUMM_ROWS_LKP_"/>
      <sheetName val="_PROC_EXTRAS_LKP_"/>
      <sheetName val="_HYPER_LKP_"/>
    </sheetNames>
    <sheetDataSet>
      <sheetData sheetId="0"/>
      <sheetData sheetId="1">
        <row r="1">
          <cell r="B1" t="str">
            <v>LKP_YEAR</v>
          </cell>
          <cell r="D1" t="str">
            <v>LKP_MONTHS</v>
          </cell>
        </row>
        <row r="2">
          <cell r="B2">
            <v>2017</v>
          </cell>
          <cell r="D2">
            <v>0</v>
          </cell>
        </row>
        <row r="3">
          <cell r="B3">
            <v>2018</v>
          </cell>
          <cell r="D3">
            <v>1</v>
          </cell>
        </row>
        <row r="4">
          <cell r="B4">
            <v>2019</v>
          </cell>
          <cell r="D4">
            <v>2</v>
          </cell>
        </row>
        <row r="5">
          <cell r="D5">
            <v>3</v>
          </cell>
        </row>
        <row r="6">
          <cell r="D6">
            <v>4</v>
          </cell>
        </row>
        <row r="7">
          <cell r="D7">
            <v>5</v>
          </cell>
        </row>
        <row r="8">
          <cell r="D8">
            <v>6</v>
          </cell>
        </row>
        <row r="9">
          <cell r="D9">
            <v>7</v>
          </cell>
        </row>
        <row r="10">
          <cell r="D10">
            <v>8</v>
          </cell>
        </row>
        <row r="11">
          <cell r="D11">
            <v>9</v>
          </cell>
        </row>
        <row r="12">
          <cell r="D12">
            <v>10</v>
          </cell>
        </row>
        <row r="13">
          <cell r="D13">
            <v>11</v>
          </cell>
        </row>
        <row r="14">
          <cell r="D14">
            <v>12</v>
          </cell>
        </row>
      </sheetData>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
      <sheetName val="LOOKUPS"/>
      <sheetName val="_SUMM_ROWS_LKP_"/>
      <sheetName val="_PROC_EXTRAS_LKP_"/>
      <sheetName val="_HYPER_LKP_NEW_"/>
    </sheetNames>
    <sheetDataSet>
      <sheetData sheetId="0"/>
      <sheetData sheetId="1">
        <row r="1">
          <cell r="B1" t="str">
            <v>LKP_YEAR</v>
          </cell>
          <cell r="D1" t="str">
            <v>LKP_MONTHS</v>
          </cell>
        </row>
        <row r="2">
          <cell r="B2">
            <v>2017</v>
          </cell>
          <cell r="D2">
            <v>0</v>
          </cell>
        </row>
        <row r="3">
          <cell r="B3">
            <v>2018</v>
          </cell>
          <cell r="D3">
            <v>1</v>
          </cell>
        </row>
        <row r="4">
          <cell r="B4">
            <v>2019</v>
          </cell>
          <cell r="D4">
            <v>2</v>
          </cell>
        </row>
        <row r="5">
          <cell r="D5">
            <v>3</v>
          </cell>
        </row>
        <row r="6">
          <cell r="D6">
            <v>4</v>
          </cell>
        </row>
        <row r="7">
          <cell r="D7">
            <v>5</v>
          </cell>
        </row>
        <row r="8">
          <cell r="D8">
            <v>6</v>
          </cell>
        </row>
        <row r="9">
          <cell r="D9">
            <v>7</v>
          </cell>
        </row>
        <row r="10">
          <cell r="D10">
            <v>8</v>
          </cell>
        </row>
        <row r="11">
          <cell r="D11">
            <v>9</v>
          </cell>
        </row>
        <row r="12">
          <cell r="D12">
            <v>10</v>
          </cell>
        </row>
        <row r="13">
          <cell r="D13">
            <v>11</v>
          </cell>
        </row>
        <row r="14">
          <cell r="D14">
            <v>12</v>
          </cell>
        </row>
      </sheetData>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
      <sheetName val="P&amp;L Statement"/>
      <sheetName val="_SUMM_ROWS_LKP_YTD_"/>
      <sheetName val="_SUMM_ROWS_LKP_"/>
      <sheetName val="_HYPER_LKP_NEW_"/>
      <sheetName val="__NOTES__"/>
      <sheetName val="LOOKUPS"/>
      <sheetName val="SANDBOX"/>
      <sheetName val="_PROC_EXTRAS_LKP_"/>
    </sheetNames>
    <sheetDataSet>
      <sheetData sheetId="0" refreshError="1"/>
      <sheetData sheetId="1" refreshError="1"/>
      <sheetData sheetId="2" refreshError="1"/>
      <sheetData sheetId="3" refreshError="1"/>
      <sheetData sheetId="4" refreshError="1"/>
      <sheetData sheetId="5" refreshError="1"/>
      <sheetData sheetId="6">
        <row r="1">
          <cell r="B1" t="str">
            <v>LKP_YEAR</v>
          </cell>
          <cell r="D1" t="str">
            <v>LKP_MONTHS</v>
          </cell>
        </row>
        <row r="2">
          <cell r="B2">
            <v>2019</v>
          </cell>
          <cell r="D2">
            <v>0</v>
          </cell>
        </row>
        <row r="3">
          <cell r="B3">
            <v>2020</v>
          </cell>
          <cell r="D3">
            <v>1</v>
          </cell>
        </row>
        <row r="4">
          <cell r="B4">
            <v>2021</v>
          </cell>
          <cell r="D4">
            <v>2</v>
          </cell>
        </row>
        <row r="5">
          <cell r="D5">
            <v>3</v>
          </cell>
        </row>
        <row r="6">
          <cell r="D6">
            <v>4</v>
          </cell>
        </row>
        <row r="7">
          <cell r="D7">
            <v>5</v>
          </cell>
        </row>
        <row r="8">
          <cell r="D8">
            <v>6</v>
          </cell>
        </row>
        <row r="9">
          <cell r="D9">
            <v>7</v>
          </cell>
        </row>
        <row r="10">
          <cell r="D10">
            <v>8</v>
          </cell>
        </row>
        <row r="11">
          <cell r="D11">
            <v>9</v>
          </cell>
        </row>
        <row r="12">
          <cell r="D12">
            <v>10</v>
          </cell>
        </row>
        <row r="13">
          <cell r="D13">
            <v>11</v>
          </cell>
        </row>
        <row r="14">
          <cell r="D14">
            <v>12</v>
          </cell>
        </row>
      </sheetData>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Q738"/>
  <sheetViews>
    <sheetView showGridLines="0" tabSelected="1" zoomScale="90" zoomScaleNormal="90" workbookViewId="0">
      <pane ySplit="1" topLeftCell="A2" activePane="bottomLeft" state="frozen"/>
      <selection pane="bottomLeft" activeCell="E7" sqref="E7:F7"/>
    </sheetView>
  </sheetViews>
  <sheetFormatPr defaultRowHeight="15" x14ac:dyDescent="0.25"/>
  <cols>
    <col min="1" max="1" width="3.28515625" style="138" customWidth="1"/>
    <col min="2" max="2" width="4" customWidth="1"/>
    <col min="3" max="3" width="5.42578125" customWidth="1"/>
    <col min="4" max="4" width="14.85546875" customWidth="1"/>
    <col min="5" max="5" width="25" customWidth="1"/>
    <col min="6" max="6" width="31.28515625" customWidth="1"/>
    <col min="7" max="7" width="8.140625" customWidth="1"/>
    <col min="8" max="8" width="14.140625" customWidth="1"/>
    <col min="9" max="9" width="23.140625" customWidth="1"/>
    <col min="10" max="10" width="8.140625" customWidth="1"/>
    <col min="11" max="11" width="11.7109375" customWidth="1"/>
    <col min="12" max="12" width="23.140625" customWidth="1"/>
    <col min="13" max="14" width="4.85546875" customWidth="1"/>
    <col min="15" max="15" width="3.7109375" customWidth="1"/>
    <col min="16" max="16" width="3.28515625" customWidth="1"/>
    <col min="17" max="17" width="3.7109375" style="138" customWidth="1"/>
  </cols>
  <sheetData>
    <row r="1" spans="1:17" s="1" customFormat="1" ht="39.6" customHeight="1" thickBot="1" x14ac:dyDescent="0.6">
      <c r="A1" s="137"/>
      <c r="B1" s="146" t="s">
        <v>341</v>
      </c>
      <c r="C1" s="146"/>
      <c r="D1" s="147"/>
      <c r="E1" s="147"/>
      <c r="F1" s="148"/>
      <c r="G1" s="148"/>
      <c r="H1" s="148"/>
      <c r="I1" s="149"/>
      <c r="J1" s="149"/>
      <c r="K1" s="149"/>
      <c r="L1" s="148"/>
      <c r="M1" s="148"/>
      <c r="N1" s="148"/>
      <c r="O1" s="148"/>
      <c r="Q1" s="137"/>
    </row>
    <row r="2" spans="1:17" ht="4.1500000000000004" hidden="1" customHeight="1" thickTop="1" thickBot="1" x14ac:dyDescent="0.3">
      <c r="B2" s="150"/>
      <c r="C2" s="151"/>
      <c r="D2" s="150"/>
      <c r="E2" s="150"/>
      <c r="F2" s="150"/>
      <c r="G2" s="150"/>
      <c r="H2" s="150"/>
      <c r="I2" s="150"/>
      <c r="J2" s="150"/>
      <c r="K2" s="150"/>
      <c r="L2" s="150"/>
      <c r="M2" s="151"/>
      <c r="N2" s="150"/>
      <c r="O2" s="150"/>
    </row>
    <row r="3" spans="1:17" s="2" customFormat="1" ht="27" hidden="1" customHeight="1" thickTop="1" thickBot="1" x14ac:dyDescent="0.3">
      <c r="A3" s="139"/>
      <c r="B3" s="201" t="s">
        <v>328</v>
      </c>
      <c r="C3" s="202"/>
      <c r="D3" s="202"/>
      <c r="E3" s="202"/>
      <c r="F3" s="207"/>
      <c r="G3" s="208"/>
      <c r="H3" s="208"/>
      <c r="I3" s="209"/>
      <c r="J3" s="152"/>
      <c r="K3" s="152" t="s">
        <v>329</v>
      </c>
      <c r="L3" s="153"/>
      <c r="M3" s="199" t="s">
        <v>8</v>
      </c>
      <c r="N3" s="200"/>
      <c r="O3" s="154"/>
      <c r="Q3" s="139"/>
    </row>
    <row r="4" spans="1:17" ht="28.9" hidden="1" customHeight="1" thickTop="1" thickBot="1" x14ac:dyDescent="0.3">
      <c r="B4" s="155"/>
      <c r="C4" s="156"/>
      <c r="D4" s="157"/>
      <c r="E4" s="157"/>
      <c r="F4" s="157"/>
      <c r="G4" s="157"/>
      <c r="H4" s="157"/>
      <c r="I4" s="157"/>
      <c r="J4" s="157"/>
      <c r="K4" s="157"/>
      <c r="L4" s="157"/>
      <c r="M4" s="157"/>
      <c r="N4" s="157"/>
      <c r="O4" s="158"/>
    </row>
    <row r="5" spans="1:17" s="2" customFormat="1" ht="58.9" customHeight="1" thickTop="1" x14ac:dyDescent="0.25">
      <c r="A5" s="139"/>
      <c r="B5" s="159"/>
      <c r="C5" s="204" t="s">
        <v>375</v>
      </c>
      <c r="D5" s="204"/>
      <c r="E5" s="204"/>
      <c r="F5" s="204"/>
      <c r="G5" s="204"/>
      <c r="H5" s="204"/>
      <c r="I5" s="204"/>
      <c r="J5" s="204"/>
      <c r="K5" s="204"/>
      <c r="L5" s="204"/>
      <c r="M5" s="204"/>
      <c r="N5" s="204"/>
      <c r="O5" s="160"/>
      <c r="Q5" s="139"/>
    </row>
    <row r="6" spans="1:17" s="2" customFormat="1" ht="42.6" customHeight="1" thickBot="1" x14ac:dyDescent="0.3">
      <c r="A6" s="139"/>
      <c r="B6" s="161"/>
      <c r="C6" s="203" t="s">
        <v>342</v>
      </c>
      <c r="D6" s="203"/>
      <c r="E6" s="203"/>
      <c r="F6" s="203"/>
      <c r="G6" s="203"/>
      <c r="H6" s="203"/>
      <c r="I6" s="203"/>
      <c r="J6" s="203"/>
      <c r="K6" s="203"/>
      <c r="L6" s="203"/>
      <c r="M6" s="203"/>
      <c r="N6" s="203"/>
      <c r="O6" s="162"/>
      <c r="Q6" s="139"/>
    </row>
    <row r="7" spans="1:17" ht="29.45" customHeight="1" thickBot="1" x14ac:dyDescent="0.3">
      <c r="B7" s="210" t="s">
        <v>381</v>
      </c>
      <c r="C7" s="210"/>
      <c r="D7" s="210"/>
      <c r="E7" s="177"/>
      <c r="F7" s="196"/>
      <c r="G7" s="211" t="s">
        <v>384</v>
      </c>
      <c r="H7" s="211"/>
      <c r="I7" s="177"/>
      <c r="J7" s="212"/>
      <c r="K7" s="163" t="s">
        <v>382</v>
      </c>
      <c r="L7" s="34"/>
      <c r="M7" s="143"/>
      <c r="N7" s="143"/>
      <c r="O7" s="144"/>
    </row>
    <row r="8" spans="1:17" ht="27" customHeight="1" thickBot="1" x14ac:dyDescent="0.3">
      <c r="B8" s="33"/>
      <c r="C8" s="33"/>
      <c r="D8" s="33"/>
      <c r="E8" s="33"/>
      <c r="F8" s="33"/>
      <c r="G8" s="145" t="s">
        <v>383</v>
      </c>
      <c r="H8" s="33"/>
      <c r="I8" s="81"/>
      <c r="J8" s="33"/>
      <c r="K8" s="33"/>
      <c r="L8" s="81"/>
      <c r="M8" s="205"/>
      <c r="N8" s="206"/>
      <c r="O8" s="39"/>
    </row>
    <row r="9" spans="1:17" ht="10.5" customHeight="1" thickBot="1" x14ac:dyDescent="0.3">
      <c r="B9" s="4"/>
      <c r="C9" s="4"/>
      <c r="D9" s="4"/>
      <c r="E9" s="4"/>
      <c r="F9" s="4"/>
      <c r="G9" s="4"/>
      <c r="H9" s="4"/>
      <c r="I9" s="4"/>
      <c r="J9" s="4"/>
      <c r="K9" s="4"/>
      <c r="L9" s="4"/>
      <c r="M9" s="4"/>
      <c r="N9" s="4"/>
    </row>
    <row r="10" spans="1:17" ht="28.15" customHeight="1" thickBot="1" x14ac:dyDescent="0.3">
      <c r="B10" s="194" t="s">
        <v>343</v>
      </c>
      <c r="C10" s="195"/>
      <c r="D10" s="195"/>
      <c r="E10" s="195"/>
      <c r="F10" s="195"/>
      <c r="G10" s="195"/>
      <c r="H10" s="195"/>
      <c r="I10" s="195"/>
      <c r="J10" s="36"/>
      <c r="K10" s="36"/>
      <c r="L10" s="36"/>
      <c r="M10" s="36"/>
      <c r="N10" s="36"/>
      <c r="O10" s="37"/>
    </row>
    <row r="11" spans="1:17" ht="9" customHeight="1" thickBot="1" x14ac:dyDescent="0.3">
      <c r="B11" s="40"/>
      <c r="C11" s="4"/>
      <c r="D11" s="4"/>
      <c r="E11" s="4"/>
      <c r="F11" s="4"/>
      <c r="G11" s="4"/>
      <c r="H11" s="4"/>
      <c r="I11" s="4"/>
      <c r="J11" s="4"/>
      <c r="K11" s="4"/>
      <c r="L11" s="4"/>
      <c r="M11" s="4"/>
      <c r="N11" s="4"/>
      <c r="O11" s="44"/>
    </row>
    <row r="12" spans="1:17" ht="28.15" customHeight="1" thickBot="1" x14ac:dyDescent="0.3">
      <c r="B12" s="41"/>
      <c r="C12" s="35"/>
      <c r="D12" s="194" t="s">
        <v>5</v>
      </c>
      <c r="E12" s="195"/>
      <c r="F12" s="195"/>
      <c r="G12" s="195"/>
      <c r="H12" s="195"/>
      <c r="I12" s="36"/>
      <c r="J12" s="36"/>
      <c r="K12" s="36"/>
      <c r="L12" s="36"/>
      <c r="M12" s="36"/>
      <c r="N12" s="38"/>
      <c r="O12" s="45"/>
    </row>
    <row r="13" spans="1:17" ht="6" hidden="1" customHeight="1" thickBot="1" x14ac:dyDescent="0.3">
      <c r="B13" s="41"/>
      <c r="C13" s="40"/>
      <c r="D13" s="4"/>
      <c r="E13" s="4"/>
      <c r="F13" s="4"/>
      <c r="G13" s="4"/>
      <c r="H13" s="4"/>
      <c r="I13" s="4"/>
      <c r="J13" s="4"/>
      <c r="K13" s="4"/>
      <c r="L13" s="4"/>
      <c r="M13" s="4"/>
      <c r="N13" s="48"/>
      <c r="O13" s="45"/>
    </row>
    <row r="14" spans="1:17" s="2" customFormat="1" ht="27" hidden="1" customHeight="1" thickBot="1" x14ac:dyDescent="0.3">
      <c r="A14" s="139"/>
      <c r="B14" s="42"/>
      <c r="C14" s="84"/>
      <c r="D14" s="82" t="s">
        <v>10</v>
      </c>
      <c r="E14" s="176"/>
      <c r="F14" s="176"/>
      <c r="G14" s="176"/>
      <c r="H14" s="176"/>
      <c r="I14" s="176"/>
      <c r="J14" s="176"/>
      <c r="K14" s="176"/>
      <c r="L14" s="177"/>
      <c r="M14" s="24" t="s">
        <v>8</v>
      </c>
      <c r="N14" s="85"/>
      <c r="O14" s="46"/>
      <c r="Q14" s="139"/>
    </row>
    <row r="15" spans="1:17" s="2" customFormat="1" ht="28.15" hidden="1" customHeight="1" x14ac:dyDescent="0.25">
      <c r="A15" s="139"/>
      <c r="B15" s="42"/>
      <c r="C15" s="83" t="s">
        <v>11</v>
      </c>
      <c r="D15" s="86"/>
      <c r="E15" s="87"/>
      <c r="F15" s="87"/>
      <c r="G15" s="88"/>
      <c r="H15" s="89"/>
      <c r="I15" s="90" t="str">
        <f>IF(ISNUMBER($I$8),$I$8,"")</f>
        <v/>
      </c>
      <c r="J15" s="87"/>
      <c r="K15" s="89"/>
      <c r="L15" s="90" t="str">
        <f>IF(ISNUMBER($L$8),$L$8,"")</f>
        <v/>
      </c>
      <c r="M15" s="91"/>
      <c r="N15" s="92"/>
      <c r="O15" s="46"/>
      <c r="Q15" s="139"/>
    </row>
    <row r="16" spans="1:17" s="19" customFormat="1" ht="4.5" hidden="1" customHeight="1" x14ac:dyDescent="0.25">
      <c r="A16" s="139"/>
      <c r="B16" s="43"/>
      <c r="C16" s="179">
        <v>1</v>
      </c>
      <c r="D16" s="16"/>
      <c r="E16" s="16"/>
      <c r="F16" s="16"/>
      <c r="G16" s="16"/>
      <c r="H16" s="17"/>
      <c r="I16" s="20"/>
      <c r="J16" s="16"/>
      <c r="K16" s="17"/>
      <c r="L16" s="20"/>
      <c r="M16" s="18"/>
      <c r="N16" s="51"/>
      <c r="O16" s="47"/>
      <c r="Q16" s="139"/>
    </row>
    <row r="17" spans="1:17" s="2" customFormat="1" ht="25.15" hidden="1" customHeight="1" x14ac:dyDescent="0.25">
      <c r="A17" s="139"/>
      <c r="B17" s="42"/>
      <c r="C17" s="179"/>
      <c r="D17" s="170" t="s">
        <v>395</v>
      </c>
      <c r="E17" s="170"/>
      <c r="F17" s="170"/>
      <c r="G17" s="170"/>
      <c r="H17" s="170"/>
      <c r="I17" s="164"/>
      <c r="J17" s="6"/>
      <c r="K17" s="6"/>
      <c r="L17" s="164"/>
      <c r="M17" s="6"/>
      <c r="N17" s="52"/>
      <c r="O17" s="46"/>
      <c r="Q17" s="139"/>
    </row>
    <row r="18" spans="1:17" s="2" customFormat="1" ht="25.15" hidden="1" customHeight="1" x14ac:dyDescent="0.25">
      <c r="A18" s="139"/>
      <c r="B18" s="42"/>
      <c r="C18" s="50">
        <v>2</v>
      </c>
      <c r="D18" s="169" t="s">
        <v>370</v>
      </c>
      <c r="E18" s="170"/>
      <c r="F18" s="170"/>
      <c r="G18" s="170"/>
      <c r="H18" s="170"/>
      <c r="I18" s="25"/>
      <c r="J18" s="6"/>
      <c r="K18" s="6"/>
      <c r="L18" s="26"/>
      <c r="M18" s="6"/>
      <c r="N18" s="52"/>
      <c r="O18" s="46"/>
      <c r="Q18" s="139"/>
    </row>
    <row r="19" spans="1:17" s="2" customFormat="1" ht="25.15" hidden="1" customHeight="1" x14ac:dyDescent="0.25">
      <c r="A19" s="139"/>
      <c r="B19" s="42"/>
      <c r="C19" s="130">
        <v>3</v>
      </c>
      <c r="D19" s="178" t="s">
        <v>371</v>
      </c>
      <c r="E19" s="169"/>
      <c r="F19" s="169"/>
      <c r="G19" s="169"/>
      <c r="H19" s="22" t="s">
        <v>15</v>
      </c>
      <c r="I19" s="25"/>
      <c r="J19" s="23" t="s">
        <v>16</v>
      </c>
      <c r="K19" s="22" t="s">
        <v>15</v>
      </c>
      <c r="L19" s="26"/>
      <c r="M19" s="23" t="s">
        <v>16</v>
      </c>
      <c r="N19" s="52"/>
      <c r="O19" s="46"/>
      <c r="Q19" s="139"/>
    </row>
    <row r="20" spans="1:17" s="2" customFormat="1" ht="25.15" hidden="1" customHeight="1" x14ac:dyDescent="0.25">
      <c r="A20" s="139"/>
      <c r="B20" s="42"/>
      <c r="C20" s="130">
        <v>4</v>
      </c>
      <c r="D20" s="169" t="s">
        <v>330</v>
      </c>
      <c r="E20" s="170"/>
      <c r="F20" s="170"/>
      <c r="G20" s="170"/>
      <c r="H20" s="170"/>
      <c r="I20" s="25"/>
      <c r="J20" s="6"/>
      <c r="K20" s="6"/>
      <c r="L20" s="26"/>
      <c r="M20" s="6"/>
      <c r="N20" s="52"/>
      <c r="O20" s="46"/>
      <c r="Q20" s="139"/>
    </row>
    <row r="21" spans="1:17" s="2" customFormat="1" ht="25.15" hidden="1" customHeight="1" x14ac:dyDescent="0.25">
      <c r="A21" s="139"/>
      <c r="B21" s="42"/>
      <c r="C21" s="130">
        <v>5</v>
      </c>
      <c r="D21" s="169" t="s">
        <v>331</v>
      </c>
      <c r="E21" s="170"/>
      <c r="F21" s="170"/>
      <c r="G21" s="170"/>
      <c r="H21" s="170"/>
      <c r="I21" s="25"/>
      <c r="J21" s="6"/>
      <c r="K21" s="6"/>
      <c r="L21" s="26"/>
      <c r="M21" s="6"/>
      <c r="N21" s="52"/>
      <c r="O21" s="47"/>
      <c r="Q21" s="139"/>
    </row>
    <row r="22" spans="1:17" s="2" customFormat="1" ht="25.15" hidden="1" customHeight="1" x14ac:dyDescent="0.25">
      <c r="A22" s="139"/>
      <c r="B22" s="42"/>
      <c r="C22" s="130">
        <v>6</v>
      </c>
      <c r="D22" s="169" t="s">
        <v>332</v>
      </c>
      <c r="E22" s="170"/>
      <c r="F22" s="170"/>
      <c r="G22" s="170"/>
      <c r="H22" s="170"/>
      <c r="I22" s="25"/>
      <c r="J22" s="6"/>
      <c r="K22" s="6"/>
      <c r="L22" s="26"/>
      <c r="M22" s="6"/>
      <c r="N22" s="52"/>
      <c r="O22" s="46"/>
      <c r="Q22" s="139"/>
    </row>
    <row r="23" spans="1:17" s="2" customFormat="1" ht="25.15" hidden="1" customHeight="1" x14ac:dyDescent="0.25">
      <c r="A23" s="139"/>
      <c r="B23" s="42"/>
      <c r="C23" s="130">
        <v>7</v>
      </c>
      <c r="D23" s="169" t="s">
        <v>333</v>
      </c>
      <c r="E23" s="170"/>
      <c r="F23" s="170"/>
      <c r="G23" s="170"/>
      <c r="H23" s="170"/>
      <c r="I23" s="25"/>
      <c r="J23" s="6"/>
      <c r="K23" s="6"/>
      <c r="L23" s="26"/>
      <c r="M23" s="6"/>
      <c r="N23" s="52"/>
      <c r="O23" s="46"/>
      <c r="Q23" s="139"/>
    </row>
    <row r="24" spans="1:17" s="2" customFormat="1" ht="37.9" hidden="1" customHeight="1" x14ac:dyDescent="0.25">
      <c r="A24" s="139"/>
      <c r="B24" s="42"/>
      <c r="C24" s="130">
        <v>8</v>
      </c>
      <c r="D24" s="134" t="s">
        <v>9</v>
      </c>
      <c r="E24" s="181" t="s">
        <v>334</v>
      </c>
      <c r="F24" s="182"/>
      <c r="G24" s="182"/>
      <c r="H24" s="12"/>
      <c r="I24" s="25"/>
      <c r="J24" s="6"/>
      <c r="K24" s="6"/>
      <c r="L24" s="26"/>
      <c r="M24" s="6"/>
      <c r="N24" s="52"/>
      <c r="O24" s="46"/>
      <c r="Q24" s="139"/>
    </row>
    <row r="25" spans="1:17" s="2" customFormat="1" ht="37.9" hidden="1" customHeight="1" x14ac:dyDescent="0.25">
      <c r="A25" s="139"/>
      <c r="B25" s="42"/>
      <c r="C25" s="130">
        <v>9</v>
      </c>
      <c r="D25" s="73" t="s">
        <v>12</v>
      </c>
      <c r="E25" s="31"/>
      <c r="F25" s="31"/>
      <c r="G25" s="31"/>
      <c r="H25" s="14"/>
      <c r="I25" s="28">
        <f>I18-I19+SUM(I20:I24)</f>
        <v>0</v>
      </c>
      <c r="J25" s="29"/>
      <c r="K25" s="29"/>
      <c r="L25" s="28">
        <f>L18-L19+SUM(L20:L24)</f>
        <v>0</v>
      </c>
      <c r="M25" s="6"/>
      <c r="N25" s="52"/>
      <c r="O25" s="47"/>
      <c r="Q25" s="139"/>
    </row>
    <row r="26" spans="1:17" s="2" customFormat="1" ht="29.45" hidden="1" customHeight="1" x14ac:dyDescent="0.25">
      <c r="A26" s="139"/>
      <c r="B26" s="42"/>
      <c r="C26" s="130">
        <v>10</v>
      </c>
      <c r="D26" s="71" t="s">
        <v>13</v>
      </c>
      <c r="E26" s="72"/>
      <c r="F26" s="72"/>
      <c r="G26" s="72"/>
      <c r="H26" s="21"/>
      <c r="I26" s="30" t="str">
        <f>IFERROR(I25/I17,"N/A")</f>
        <v>N/A</v>
      </c>
      <c r="J26" s="29"/>
      <c r="K26" s="29"/>
      <c r="L26" s="30" t="str">
        <f>IFERROR(L25/L17,"N/A")</f>
        <v>N/A</v>
      </c>
      <c r="M26" s="6"/>
      <c r="N26" s="52"/>
      <c r="O26" s="46"/>
      <c r="Q26" s="139"/>
    </row>
    <row r="27" spans="1:17" s="2" customFormat="1" ht="29.45" hidden="1" customHeight="1" x14ac:dyDescent="0.25">
      <c r="A27" s="139"/>
      <c r="B27" s="42"/>
      <c r="C27" s="130">
        <v>11</v>
      </c>
      <c r="D27" s="70" t="str">
        <f>"Average Monthly Gross Rental Income (Loss) "&amp;IF(AND(ISNUMBER(I17),ISNUMBER(L17)),I17+L17,IF(ISNUMBER(I17),I17,IF(ISNUMBER(L17),L17,"____")))&amp;" months"</f>
        <v>Average Monthly Gross Rental Income (Loss) ____ months</v>
      </c>
      <c r="E27" s="74"/>
      <c r="F27" s="74"/>
      <c r="G27" s="74"/>
      <c r="H27" s="75"/>
      <c r="I27" s="76"/>
      <c r="J27" s="168" t="str">
        <f>IF(AND(ISNUMBER(I17),ISNUMBER(L17),ISNUMBER(I25),ISNUMBER(L25)),(I25+L25)/(I17+L17),IF(AND(OR(NOT(ISNUMBER(L17)),NOT(ISNUMBER(L25))),ISNUMBER(I17),ISNUMBER(I25)),I25/I17,IF(AND(OR(NOT(ISNUMBER(I17)),NOT(ISNUMBER(I25))),ISNUMBER(L17),ISNUMBER(L25)),L25/L17,"N/A")))</f>
        <v>N/A</v>
      </c>
      <c r="K27" s="168"/>
      <c r="L27" s="76"/>
      <c r="M27" s="77"/>
      <c r="N27" s="78"/>
      <c r="O27" s="47"/>
      <c r="Q27" s="139"/>
    </row>
    <row r="28" spans="1:17" s="2" customFormat="1" ht="9.6" hidden="1" customHeight="1" thickBot="1" x14ac:dyDescent="0.3">
      <c r="A28" s="139"/>
      <c r="B28" s="42"/>
      <c r="C28" s="53"/>
      <c r="D28" s="7"/>
      <c r="E28" s="7"/>
      <c r="F28" s="7"/>
      <c r="G28" s="7"/>
      <c r="H28" s="7"/>
      <c r="I28" s="7"/>
      <c r="J28" s="7"/>
      <c r="K28" s="7"/>
      <c r="L28" s="7"/>
      <c r="M28" s="7"/>
      <c r="N28" s="54"/>
      <c r="O28" s="46"/>
      <c r="Q28" s="139"/>
    </row>
    <row r="29" spans="1:17" s="2" customFormat="1" ht="27" hidden="1" customHeight="1" thickBot="1" x14ac:dyDescent="0.3">
      <c r="A29" s="139"/>
      <c r="B29" s="42"/>
      <c r="C29" s="84"/>
      <c r="D29" s="82" t="s">
        <v>10</v>
      </c>
      <c r="E29" s="176"/>
      <c r="F29" s="176"/>
      <c r="G29" s="176"/>
      <c r="H29" s="176"/>
      <c r="I29" s="176"/>
      <c r="J29" s="176"/>
      <c r="K29" s="176"/>
      <c r="L29" s="177"/>
      <c r="M29" s="24" t="s">
        <v>8</v>
      </c>
      <c r="N29" s="85"/>
      <c r="O29" s="46"/>
      <c r="Q29" s="139"/>
    </row>
    <row r="30" spans="1:17" s="2" customFormat="1" ht="28.15" hidden="1" customHeight="1" x14ac:dyDescent="0.25">
      <c r="A30" s="139"/>
      <c r="B30" s="42"/>
      <c r="C30" s="100" t="s">
        <v>11</v>
      </c>
      <c r="D30" s="93"/>
      <c r="E30" s="94"/>
      <c r="F30" s="94"/>
      <c r="G30" s="95"/>
      <c r="H30" s="96"/>
      <c r="I30" s="97" t="str">
        <f>IF(ISNUMBER($I$8),$I$8,"")</f>
        <v/>
      </c>
      <c r="J30" s="94"/>
      <c r="K30" s="96"/>
      <c r="L30" s="97" t="str">
        <f>IF(ISNUMBER($L$8),$L$8,"")</f>
        <v/>
      </c>
      <c r="M30" s="98"/>
      <c r="N30" s="99"/>
      <c r="O30" s="46"/>
      <c r="Q30" s="139"/>
    </row>
    <row r="31" spans="1:17" s="19" customFormat="1" ht="4.5" hidden="1" customHeight="1" x14ac:dyDescent="0.25">
      <c r="A31" s="139"/>
      <c r="B31" s="43"/>
      <c r="C31" s="179">
        <v>1</v>
      </c>
      <c r="D31" s="16"/>
      <c r="E31" s="16"/>
      <c r="F31" s="16"/>
      <c r="G31" s="16"/>
      <c r="H31" s="17"/>
      <c r="I31" s="20"/>
      <c r="J31" s="16"/>
      <c r="K31" s="17"/>
      <c r="L31" s="20"/>
      <c r="M31" s="18"/>
      <c r="N31" s="51"/>
      <c r="O31" s="47"/>
      <c r="Q31" s="139"/>
    </row>
    <row r="32" spans="1:17" s="2" customFormat="1" ht="25.15" hidden="1" customHeight="1" x14ac:dyDescent="0.25">
      <c r="A32" s="139"/>
      <c r="B32" s="42"/>
      <c r="C32" s="179"/>
      <c r="D32" s="170" t="s">
        <v>395</v>
      </c>
      <c r="E32" s="170"/>
      <c r="F32" s="170"/>
      <c r="G32" s="170"/>
      <c r="H32" s="170"/>
      <c r="I32" s="164"/>
      <c r="J32" s="6"/>
      <c r="K32" s="6"/>
      <c r="L32" s="164"/>
      <c r="M32" s="6"/>
      <c r="N32" s="52"/>
      <c r="O32" s="46"/>
      <c r="Q32" s="139"/>
    </row>
    <row r="33" spans="1:17" s="2" customFormat="1" ht="25.15" hidden="1" customHeight="1" x14ac:dyDescent="0.25">
      <c r="A33" s="139"/>
      <c r="B33" s="42"/>
      <c r="C33" s="135">
        <v>2</v>
      </c>
      <c r="D33" s="169" t="s">
        <v>370</v>
      </c>
      <c r="E33" s="170"/>
      <c r="F33" s="170"/>
      <c r="G33" s="170"/>
      <c r="H33" s="170"/>
      <c r="I33" s="25"/>
      <c r="J33" s="6"/>
      <c r="K33" s="6"/>
      <c r="L33" s="26"/>
      <c r="M33" s="6"/>
      <c r="N33" s="52"/>
      <c r="O33" s="46"/>
      <c r="Q33" s="139"/>
    </row>
    <row r="34" spans="1:17" s="2" customFormat="1" ht="25.15" hidden="1" customHeight="1" x14ac:dyDescent="0.25">
      <c r="A34" s="139"/>
      <c r="B34" s="42"/>
      <c r="C34" s="135">
        <v>3</v>
      </c>
      <c r="D34" s="178" t="s">
        <v>371</v>
      </c>
      <c r="E34" s="169"/>
      <c r="F34" s="169"/>
      <c r="G34" s="169"/>
      <c r="H34" s="22" t="s">
        <v>15</v>
      </c>
      <c r="I34" s="25"/>
      <c r="J34" s="23" t="s">
        <v>16</v>
      </c>
      <c r="K34" s="22" t="s">
        <v>15</v>
      </c>
      <c r="L34" s="26"/>
      <c r="M34" s="23" t="s">
        <v>16</v>
      </c>
      <c r="N34" s="52"/>
      <c r="O34" s="46"/>
      <c r="Q34" s="139"/>
    </row>
    <row r="35" spans="1:17" s="2" customFormat="1" ht="25.15" hidden="1" customHeight="1" x14ac:dyDescent="0.25">
      <c r="A35" s="139"/>
      <c r="B35" s="42"/>
      <c r="C35" s="135">
        <v>4</v>
      </c>
      <c r="D35" s="169" t="s">
        <v>330</v>
      </c>
      <c r="E35" s="170"/>
      <c r="F35" s="170"/>
      <c r="G35" s="170"/>
      <c r="H35" s="170"/>
      <c r="I35" s="25"/>
      <c r="J35" s="6"/>
      <c r="K35" s="6"/>
      <c r="L35" s="26"/>
      <c r="M35" s="6"/>
      <c r="N35" s="52"/>
      <c r="O35" s="46"/>
      <c r="Q35" s="139"/>
    </row>
    <row r="36" spans="1:17" s="2" customFormat="1" ht="25.15" hidden="1" customHeight="1" x14ac:dyDescent="0.25">
      <c r="A36" s="139"/>
      <c r="B36" s="42"/>
      <c r="C36" s="135">
        <v>5</v>
      </c>
      <c r="D36" s="169" t="s">
        <v>331</v>
      </c>
      <c r="E36" s="170"/>
      <c r="F36" s="170"/>
      <c r="G36" s="170"/>
      <c r="H36" s="170"/>
      <c r="I36" s="25"/>
      <c r="J36" s="6"/>
      <c r="K36" s="6"/>
      <c r="L36" s="26"/>
      <c r="M36" s="6"/>
      <c r="N36" s="52"/>
      <c r="O36" s="47"/>
      <c r="Q36" s="139"/>
    </row>
    <row r="37" spans="1:17" s="2" customFormat="1" ht="25.15" hidden="1" customHeight="1" x14ac:dyDescent="0.25">
      <c r="A37" s="139"/>
      <c r="B37" s="42"/>
      <c r="C37" s="135">
        <v>6</v>
      </c>
      <c r="D37" s="169" t="s">
        <v>332</v>
      </c>
      <c r="E37" s="170"/>
      <c r="F37" s="170"/>
      <c r="G37" s="170"/>
      <c r="H37" s="170"/>
      <c r="I37" s="25"/>
      <c r="J37" s="6"/>
      <c r="K37" s="6"/>
      <c r="L37" s="26"/>
      <c r="M37" s="6"/>
      <c r="N37" s="52"/>
      <c r="O37" s="46"/>
      <c r="Q37" s="139"/>
    </row>
    <row r="38" spans="1:17" s="2" customFormat="1" ht="25.15" hidden="1" customHeight="1" x14ac:dyDescent="0.25">
      <c r="A38" s="139"/>
      <c r="B38" s="42"/>
      <c r="C38" s="135">
        <v>7</v>
      </c>
      <c r="D38" s="169" t="s">
        <v>333</v>
      </c>
      <c r="E38" s="170"/>
      <c r="F38" s="170"/>
      <c r="G38" s="170"/>
      <c r="H38" s="170"/>
      <c r="I38" s="25"/>
      <c r="J38" s="6"/>
      <c r="K38" s="6"/>
      <c r="L38" s="26"/>
      <c r="M38" s="6"/>
      <c r="N38" s="52"/>
      <c r="O38" s="46"/>
      <c r="Q38" s="139"/>
    </row>
    <row r="39" spans="1:17" s="2" customFormat="1" ht="37.9" hidden="1" customHeight="1" x14ac:dyDescent="0.25">
      <c r="A39" s="139"/>
      <c r="B39" s="42"/>
      <c r="C39" s="135">
        <v>8</v>
      </c>
      <c r="D39" s="134" t="s">
        <v>9</v>
      </c>
      <c r="E39" s="181" t="s">
        <v>334</v>
      </c>
      <c r="F39" s="182"/>
      <c r="G39" s="182"/>
      <c r="H39" s="12"/>
      <c r="I39" s="25"/>
      <c r="J39" s="6"/>
      <c r="K39" s="6"/>
      <c r="L39" s="26"/>
      <c r="M39" s="6"/>
      <c r="N39" s="52"/>
      <c r="O39" s="46"/>
      <c r="Q39" s="139"/>
    </row>
    <row r="40" spans="1:17" s="2" customFormat="1" ht="37.9" hidden="1" customHeight="1" x14ac:dyDescent="0.25">
      <c r="A40" s="139"/>
      <c r="B40" s="42"/>
      <c r="C40" s="135">
        <v>9</v>
      </c>
      <c r="D40" s="73" t="s">
        <v>12</v>
      </c>
      <c r="E40" s="136"/>
      <c r="F40" s="136"/>
      <c r="G40" s="136"/>
      <c r="H40" s="14"/>
      <c r="I40" s="28">
        <f>I33-I34+SUM(I35:I39)</f>
        <v>0</v>
      </c>
      <c r="J40" s="29"/>
      <c r="K40" s="29"/>
      <c r="L40" s="28">
        <f>L33-L34+SUM(L35:L39)</f>
        <v>0</v>
      </c>
      <c r="M40" s="6"/>
      <c r="N40" s="52"/>
      <c r="O40" s="47"/>
      <c r="Q40" s="139"/>
    </row>
    <row r="41" spans="1:17" s="2" customFormat="1" ht="29.45" hidden="1" customHeight="1" x14ac:dyDescent="0.25">
      <c r="A41" s="139"/>
      <c r="B41" s="42"/>
      <c r="C41" s="135">
        <v>10</v>
      </c>
      <c r="D41" s="71" t="s">
        <v>13</v>
      </c>
      <c r="E41" s="72"/>
      <c r="F41" s="72"/>
      <c r="G41" s="72"/>
      <c r="H41" s="21"/>
      <c r="I41" s="30" t="str">
        <f>IFERROR(I40/I32,"N/A")</f>
        <v>N/A</v>
      </c>
      <c r="J41" s="29"/>
      <c r="K41" s="29"/>
      <c r="L41" s="30" t="str">
        <f>IFERROR(L40/L32,"N/A")</f>
        <v>N/A</v>
      </c>
      <c r="M41" s="6"/>
      <c r="N41" s="52"/>
      <c r="O41" s="46"/>
      <c r="Q41" s="139"/>
    </row>
    <row r="42" spans="1:17" s="2" customFormat="1" ht="29.45" hidden="1" customHeight="1" x14ac:dyDescent="0.25">
      <c r="A42" s="139"/>
      <c r="B42" s="42"/>
      <c r="C42" s="135">
        <v>11</v>
      </c>
      <c r="D42" s="70" t="str">
        <f>"Average Monthly Gross Rental Income (Loss) "&amp;IF(AND(ISNUMBER(I32),ISNUMBER(L32)),I32+L32,IF(ISNUMBER(I32),I32,IF(ISNUMBER(L32),L32,"____")))&amp;" months"</f>
        <v>Average Monthly Gross Rental Income (Loss) ____ months</v>
      </c>
      <c r="E42" s="74"/>
      <c r="F42" s="74"/>
      <c r="G42" s="74"/>
      <c r="H42" s="75"/>
      <c r="I42" s="76"/>
      <c r="J42" s="168" t="str">
        <f>IF(AND(ISNUMBER(I32),ISNUMBER(L32),ISNUMBER(I40),ISNUMBER(L40)),(I40+L40)/(I32+L32),IF(AND(OR(NOT(ISNUMBER(L32)),NOT(ISNUMBER(L40))),ISNUMBER(I32),ISNUMBER(I40)),I40/I32,IF(AND(OR(NOT(ISNUMBER(I32)),NOT(ISNUMBER(I40))),ISNUMBER(L32),ISNUMBER(L40)),L40/L32,"N/A")))</f>
        <v>N/A</v>
      </c>
      <c r="K42" s="168"/>
      <c r="L42" s="76"/>
      <c r="M42" s="77"/>
      <c r="N42" s="78"/>
      <c r="O42" s="47"/>
      <c r="Q42" s="139"/>
    </row>
    <row r="43" spans="1:17" s="2" customFormat="1" ht="9.6" hidden="1" customHeight="1" thickBot="1" x14ac:dyDescent="0.3">
      <c r="A43" s="139"/>
      <c r="B43" s="42"/>
      <c r="C43" s="49"/>
      <c r="D43" s="7"/>
      <c r="E43" s="7"/>
      <c r="F43" s="7"/>
      <c r="G43" s="7"/>
      <c r="H43" s="7"/>
      <c r="I43" s="7"/>
      <c r="J43" s="7"/>
      <c r="K43" s="7"/>
      <c r="L43" s="7"/>
      <c r="M43" s="7"/>
      <c r="N43" s="54"/>
      <c r="O43" s="46"/>
      <c r="Q43" s="139"/>
    </row>
    <row r="44" spans="1:17" s="2" customFormat="1" ht="27" hidden="1" customHeight="1" thickBot="1" x14ac:dyDescent="0.3">
      <c r="A44" s="139"/>
      <c r="B44" s="42"/>
      <c r="C44" s="84"/>
      <c r="D44" s="82" t="s">
        <v>10</v>
      </c>
      <c r="E44" s="176"/>
      <c r="F44" s="176"/>
      <c r="G44" s="176"/>
      <c r="H44" s="176"/>
      <c r="I44" s="176"/>
      <c r="J44" s="176"/>
      <c r="K44" s="176"/>
      <c r="L44" s="177"/>
      <c r="M44" s="24" t="s">
        <v>8</v>
      </c>
      <c r="N44" s="85"/>
      <c r="O44" s="46"/>
      <c r="Q44" s="139"/>
    </row>
    <row r="45" spans="1:17" s="2" customFormat="1" ht="28.15" hidden="1" customHeight="1" x14ac:dyDescent="0.25">
      <c r="A45" s="139"/>
      <c r="B45" s="42"/>
      <c r="C45" s="100" t="s">
        <v>11</v>
      </c>
      <c r="D45" s="93"/>
      <c r="E45" s="94"/>
      <c r="F45" s="94"/>
      <c r="G45" s="95"/>
      <c r="H45" s="96"/>
      <c r="I45" s="97" t="str">
        <f>IF(ISNUMBER($I$8),$I$8,"")</f>
        <v/>
      </c>
      <c r="J45" s="94"/>
      <c r="K45" s="96"/>
      <c r="L45" s="97" t="str">
        <f>IF(ISNUMBER($L$8),$L$8,"")</f>
        <v/>
      </c>
      <c r="M45" s="98"/>
      <c r="N45" s="99"/>
      <c r="O45" s="46"/>
      <c r="Q45" s="139"/>
    </row>
    <row r="46" spans="1:17" s="19" customFormat="1" ht="4.5" hidden="1" customHeight="1" x14ac:dyDescent="0.25">
      <c r="A46" s="139"/>
      <c r="B46" s="43"/>
      <c r="C46" s="179">
        <v>1</v>
      </c>
      <c r="D46" s="16"/>
      <c r="E46" s="16"/>
      <c r="F46" s="16"/>
      <c r="G46" s="16"/>
      <c r="H46" s="17"/>
      <c r="I46" s="20"/>
      <c r="J46" s="16"/>
      <c r="K46" s="17"/>
      <c r="L46" s="20"/>
      <c r="M46" s="18"/>
      <c r="N46" s="51"/>
      <c r="O46" s="47"/>
      <c r="Q46" s="139"/>
    </row>
    <row r="47" spans="1:17" s="2" customFormat="1" ht="25.15" hidden="1" customHeight="1" x14ac:dyDescent="0.25">
      <c r="A47" s="139"/>
      <c r="B47" s="42"/>
      <c r="C47" s="179"/>
      <c r="D47" s="170" t="s">
        <v>395</v>
      </c>
      <c r="E47" s="170"/>
      <c r="F47" s="170"/>
      <c r="G47" s="170"/>
      <c r="H47" s="170"/>
      <c r="I47" s="164"/>
      <c r="J47" s="6"/>
      <c r="K47" s="6"/>
      <c r="L47" s="164"/>
      <c r="M47" s="6"/>
      <c r="N47" s="52"/>
      <c r="O47" s="46"/>
      <c r="Q47" s="139"/>
    </row>
    <row r="48" spans="1:17" s="2" customFormat="1" ht="25.15" hidden="1" customHeight="1" x14ac:dyDescent="0.25">
      <c r="A48" s="139"/>
      <c r="B48" s="42"/>
      <c r="C48" s="135">
        <v>2</v>
      </c>
      <c r="D48" s="169" t="s">
        <v>370</v>
      </c>
      <c r="E48" s="170"/>
      <c r="F48" s="170"/>
      <c r="G48" s="170"/>
      <c r="H48" s="170"/>
      <c r="I48" s="25"/>
      <c r="J48" s="6"/>
      <c r="K48" s="6"/>
      <c r="L48" s="26"/>
      <c r="M48" s="6"/>
      <c r="N48" s="52"/>
      <c r="O48" s="46"/>
      <c r="Q48" s="139"/>
    </row>
    <row r="49" spans="1:17" s="2" customFormat="1" ht="25.15" hidden="1" customHeight="1" x14ac:dyDescent="0.25">
      <c r="A49" s="139"/>
      <c r="B49" s="42"/>
      <c r="C49" s="135">
        <v>3</v>
      </c>
      <c r="D49" s="178" t="s">
        <v>371</v>
      </c>
      <c r="E49" s="169"/>
      <c r="F49" s="169"/>
      <c r="G49" s="169"/>
      <c r="H49" s="22" t="s">
        <v>15</v>
      </c>
      <c r="I49" s="25"/>
      <c r="J49" s="23" t="s">
        <v>16</v>
      </c>
      <c r="K49" s="22" t="s">
        <v>15</v>
      </c>
      <c r="L49" s="26"/>
      <c r="M49" s="23" t="s">
        <v>16</v>
      </c>
      <c r="N49" s="52"/>
      <c r="O49" s="46"/>
      <c r="Q49" s="139"/>
    </row>
    <row r="50" spans="1:17" s="2" customFormat="1" ht="25.15" hidden="1" customHeight="1" x14ac:dyDescent="0.25">
      <c r="A50" s="139"/>
      <c r="B50" s="42"/>
      <c r="C50" s="135">
        <v>4</v>
      </c>
      <c r="D50" s="169" t="s">
        <v>330</v>
      </c>
      <c r="E50" s="170"/>
      <c r="F50" s="170"/>
      <c r="G50" s="170"/>
      <c r="H50" s="170"/>
      <c r="I50" s="25"/>
      <c r="J50" s="6"/>
      <c r="K50" s="6"/>
      <c r="L50" s="26"/>
      <c r="M50" s="6"/>
      <c r="N50" s="52"/>
      <c r="O50" s="46"/>
      <c r="Q50" s="139"/>
    </row>
    <row r="51" spans="1:17" s="2" customFormat="1" ht="25.15" hidden="1" customHeight="1" x14ac:dyDescent="0.25">
      <c r="A51" s="139"/>
      <c r="B51" s="42"/>
      <c r="C51" s="135">
        <v>5</v>
      </c>
      <c r="D51" s="169" t="s">
        <v>331</v>
      </c>
      <c r="E51" s="170"/>
      <c r="F51" s="170"/>
      <c r="G51" s="170"/>
      <c r="H51" s="170"/>
      <c r="I51" s="25"/>
      <c r="J51" s="6"/>
      <c r="K51" s="6"/>
      <c r="L51" s="26"/>
      <c r="M51" s="6"/>
      <c r="N51" s="52"/>
      <c r="O51" s="47"/>
      <c r="Q51" s="139"/>
    </row>
    <row r="52" spans="1:17" s="2" customFormat="1" ht="25.15" hidden="1" customHeight="1" x14ac:dyDescent="0.25">
      <c r="A52" s="139"/>
      <c r="B52" s="42"/>
      <c r="C52" s="135">
        <v>6</v>
      </c>
      <c r="D52" s="169" t="s">
        <v>332</v>
      </c>
      <c r="E52" s="170"/>
      <c r="F52" s="170"/>
      <c r="G52" s="170"/>
      <c r="H52" s="170"/>
      <c r="I52" s="25"/>
      <c r="J52" s="6"/>
      <c r="K52" s="6"/>
      <c r="L52" s="26"/>
      <c r="M52" s="6"/>
      <c r="N52" s="52"/>
      <c r="O52" s="46"/>
      <c r="Q52" s="139"/>
    </row>
    <row r="53" spans="1:17" s="2" customFormat="1" ht="25.15" hidden="1" customHeight="1" x14ac:dyDescent="0.25">
      <c r="A53" s="139"/>
      <c r="B53" s="42"/>
      <c r="C53" s="135">
        <v>7</v>
      </c>
      <c r="D53" s="169" t="s">
        <v>333</v>
      </c>
      <c r="E53" s="170"/>
      <c r="F53" s="170"/>
      <c r="G53" s="170"/>
      <c r="H53" s="170"/>
      <c r="I53" s="25"/>
      <c r="J53" s="6"/>
      <c r="K53" s="6"/>
      <c r="L53" s="26"/>
      <c r="M53" s="6"/>
      <c r="N53" s="52"/>
      <c r="O53" s="46"/>
      <c r="Q53" s="139"/>
    </row>
    <row r="54" spans="1:17" s="2" customFormat="1" ht="37.9" hidden="1" customHeight="1" x14ac:dyDescent="0.25">
      <c r="A54" s="139"/>
      <c r="B54" s="42"/>
      <c r="C54" s="135">
        <v>8</v>
      </c>
      <c r="D54" s="134" t="s">
        <v>9</v>
      </c>
      <c r="E54" s="181" t="s">
        <v>334</v>
      </c>
      <c r="F54" s="182"/>
      <c r="G54" s="182"/>
      <c r="H54" s="12"/>
      <c r="I54" s="25"/>
      <c r="J54" s="6"/>
      <c r="K54" s="6"/>
      <c r="L54" s="26"/>
      <c r="M54" s="6"/>
      <c r="N54" s="52"/>
      <c r="O54" s="46"/>
      <c r="Q54" s="139"/>
    </row>
    <row r="55" spans="1:17" s="2" customFormat="1" ht="37.9" hidden="1" customHeight="1" x14ac:dyDescent="0.25">
      <c r="A55" s="139"/>
      <c r="B55" s="42"/>
      <c r="C55" s="135">
        <v>9</v>
      </c>
      <c r="D55" s="73" t="s">
        <v>12</v>
      </c>
      <c r="E55" s="136"/>
      <c r="F55" s="136"/>
      <c r="G55" s="136"/>
      <c r="H55" s="14"/>
      <c r="I55" s="28">
        <f>I48-I49+SUM(I50:I54)</f>
        <v>0</v>
      </c>
      <c r="J55" s="29"/>
      <c r="K55" s="29"/>
      <c r="L55" s="28">
        <f>L48-L49+SUM(L50:L54)</f>
        <v>0</v>
      </c>
      <c r="M55" s="6"/>
      <c r="N55" s="52"/>
      <c r="O55" s="47"/>
      <c r="Q55" s="139"/>
    </row>
    <row r="56" spans="1:17" s="2" customFormat="1" ht="29.45" hidden="1" customHeight="1" x14ac:dyDescent="0.25">
      <c r="A56" s="139"/>
      <c r="B56" s="42"/>
      <c r="C56" s="135">
        <v>10</v>
      </c>
      <c r="D56" s="71" t="s">
        <v>13</v>
      </c>
      <c r="E56" s="72"/>
      <c r="F56" s="72"/>
      <c r="G56" s="72"/>
      <c r="H56" s="21"/>
      <c r="I56" s="30" t="str">
        <f>IFERROR(I55/I47,"N/A")</f>
        <v>N/A</v>
      </c>
      <c r="J56" s="29"/>
      <c r="K56" s="29"/>
      <c r="L56" s="30" t="str">
        <f>IFERROR(L55/L47,"N/A")</f>
        <v>N/A</v>
      </c>
      <c r="M56" s="6"/>
      <c r="N56" s="52"/>
      <c r="O56" s="46"/>
      <c r="Q56" s="139"/>
    </row>
    <row r="57" spans="1:17" s="2" customFormat="1" ht="29.45" hidden="1" customHeight="1" x14ac:dyDescent="0.25">
      <c r="A57" s="139"/>
      <c r="B57" s="42"/>
      <c r="C57" s="135">
        <v>11</v>
      </c>
      <c r="D57" s="70" t="str">
        <f>"Average Monthly Gross Rental Income (Loss) "&amp;IF(AND(ISNUMBER(I47),ISNUMBER(L47)),I47+L47,IF(ISNUMBER(I47),I47,IF(ISNUMBER(L47),L47,"____")))&amp;" months"</f>
        <v>Average Monthly Gross Rental Income (Loss) ____ months</v>
      </c>
      <c r="E57" s="74"/>
      <c r="F57" s="74"/>
      <c r="G57" s="74"/>
      <c r="H57" s="75"/>
      <c r="I57" s="76"/>
      <c r="J57" s="168" t="str">
        <f>IF(AND(ISNUMBER(I47),ISNUMBER(L47),ISNUMBER(I55),ISNUMBER(L55)),(I55+L55)/(I47+L47),IF(AND(OR(NOT(ISNUMBER(L47)),NOT(ISNUMBER(L55))),ISNUMBER(I47),ISNUMBER(I55)),I55/I47,IF(AND(OR(NOT(ISNUMBER(I47)),NOT(ISNUMBER(I55))),ISNUMBER(L47),ISNUMBER(L55)),L55/L47,"N/A")))</f>
        <v>N/A</v>
      </c>
      <c r="K57" s="168"/>
      <c r="L57" s="76"/>
      <c r="M57" s="77"/>
      <c r="N57" s="78"/>
      <c r="O57" s="47"/>
      <c r="Q57" s="139"/>
    </row>
    <row r="58" spans="1:17" s="2" customFormat="1" ht="9.6" hidden="1" customHeight="1" thickBot="1" x14ac:dyDescent="0.3">
      <c r="A58" s="139"/>
      <c r="B58" s="42"/>
      <c r="C58" s="57"/>
      <c r="D58" s="58"/>
      <c r="E58" s="58"/>
      <c r="F58" s="58"/>
      <c r="G58" s="58"/>
      <c r="H58" s="58"/>
      <c r="I58" s="58"/>
      <c r="J58" s="58"/>
      <c r="K58" s="58"/>
      <c r="L58" s="58"/>
      <c r="M58" s="58"/>
      <c r="N58" s="56"/>
      <c r="O58" s="46"/>
      <c r="Q58" s="139"/>
    </row>
    <row r="59" spans="1:17" s="2" customFormat="1" ht="10.9" customHeight="1" thickBot="1" x14ac:dyDescent="0.3">
      <c r="A59" s="139"/>
      <c r="B59" s="42"/>
      <c r="C59" s="59"/>
      <c r="D59" s="59"/>
      <c r="E59" s="59"/>
      <c r="F59" s="59"/>
      <c r="G59" s="59"/>
      <c r="H59" s="59"/>
      <c r="I59" s="59"/>
      <c r="J59" s="59"/>
      <c r="K59" s="59"/>
      <c r="L59" s="59"/>
      <c r="M59" s="59"/>
      <c r="N59" s="59"/>
      <c r="O59" s="46"/>
      <c r="Q59" s="139"/>
    </row>
    <row r="60" spans="1:17" ht="28.15" customHeight="1" thickBot="1" x14ac:dyDescent="0.3">
      <c r="B60" s="41"/>
      <c r="C60" s="35"/>
      <c r="D60" s="194" t="s">
        <v>335</v>
      </c>
      <c r="E60" s="195"/>
      <c r="F60" s="195"/>
      <c r="G60" s="195"/>
      <c r="H60" s="195"/>
      <c r="I60" s="36"/>
      <c r="J60" s="36"/>
      <c r="K60" s="36"/>
      <c r="L60" s="36"/>
      <c r="M60" s="36"/>
      <c r="N60" s="38"/>
      <c r="O60" s="45"/>
    </row>
    <row r="61" spans="1:17" ht="6" hidden="1" customHeight="1" thickBot="1" x14ac:dyDescent="0.3">
      <c r="B61" s="41"/>
      <c r="C61" s="40"/>
      <c r="D61" s="4"/>
      <c r="E61" s="4"/>
      <c r="F61" s="4"/>
      <c r="G61" s="4"/>
      <c r="H61" s="4"/>
      <c r="I61" s="4"/>
      <c r="J61" s="4"/>
      <c r="K61" s="4"/>
      <c r="L61" s="4"/>
      <c r="M61" s="4"/>
      <c r="N61" s="48"/>
      <c r="O61" s="45"/>
    </row>
    <row r="62" spans="1:17" s="2" customFormat="1" ht="27" hidden="1" customHeight="1" thickBot="1" x14ac:dyDescent="0.3">
      <c r="A62" s="139"/>
      <c r="B62" s="42"/>
      <c r="C62" s="84"/>
      <c r="D62" s="82" t="s">
        <v>10</v>
      </c>
      <c r="E62" s="176"/>
      <c r="F62" s="176"/>
      <c r="G62" s="176"/>
      <c r="H62" s="176"/>
      <c r="I62" s="176"/>
      <c r="J62" s="176"/>
      <c r="K62" s="176"/>
      <c r="L62" s="177"/>
      <c r="M62" s="24" t="s">
        <v>8</v>
      </c>
      <c r="N62" s="85"/>
      <c r="O62" s="46"/>
      <c r="Q62" s="139"/>
    </row>
    <row r="63" spans="1:17" s="2" customFormat="1" ht="28.15" hidden="1" customHeight="1" x14ac:dyDescent="0.25">
      <c r="A63" s="139"/>
      <c r="B63" s="42"/>
      <c r="C63" s="100" t="s">
        <v>11</v>
      </c>
      <c r="D63" s="93"/>
      <c r="E63" s="94"/>
      <c r="F63" s="94"/>
      <c r="G63" s="95"/>
      <c r="H63" s="96"/>
      <c r="I63" s="97"/>
      <c r="J63" s="97"/>
      <c r="K63" s="97"/>
      <c r="L63" s="101"/>
      <c r="M63" s="98"/>
      <c r="N63" s="99"/>
      <c r="O63" s="46"/>
      <c r="Q63" s="139"/>
    </row>
    <row r="64" spans="1:17" s="19" customFormat="1" ht="4.5" hidden="1" customHeight="1" x14ac:dyDescent="0.25">
      <c r="A64" s="139"/>
      <c r="B64" s="43"/>
      <c r="C64" s="179">
        <v>12</v>
      </c>
      <c r="D64" s="16"/>
      <c r="E64" s="16"/>
      <c r="F64" s="16"/>
      <c r="G64" s="16"/>
      <c r="H64" s="17"/>
      <c r="I64" s="20"/>
      <c r="J64" s="16"/>
      <c r="K64" s="17"/>
      <c r="L64" s="20"/>
      <c r="M64" s="18"/>
      <c r="N64" s="51"/>
      <c r="O64" s="47"/>
      <c r="Q64" s="139"/>
    </row>
    <row r="65" spans="1:17" s="2" customFormat="1" ht="25.15" hidden="1" customHeight="1" x14ac:dyDescent="0.25">
      <c r="A65" s="139"/>
      <c r="B65" s="42"/>
      <c r="C65" s="179"/>
      <c r="D65" s="170" t="s">
        <v>336</v>
      </c>
      <c r="E65" s="170"/>
      <c r="F65" s="170"/>
      <c r="G65" s="170"/>
      <c r="H65" s="170"/>
      <c r="I65" s="60"/>
      <c r="J65" s="183"/>
      <c r="K65" s="184"/>
      <c r="L65" s="60"/>
      <c r="M65" s="6"/>
      <c r="N65" s="52"/>
      <c r="O65" s="46"/>
      <c r="Q65" s="139"/>
    </row>
    <row r="66" spans="1:17" s="2" customFormat="1" ht="25.15" hidden="1" customHeight="1" x14ac:dyDescent="0.25">
      <c r="A66" s="139"/>
      <c r="B66" s="42"/>
      <c r="C66" s="50">
        <v>13</v>
      </c>
      <c r="D66" s="169" t="s">
        <v>337</v>
      </c>
      <c r="E66" s="170"/>
      <c r="F66" s="170"/>
      <c r="G66" s="170"/>
      <c r="H66" s="170"/>
      <c r="I66" s="121"/>
      <c r="J66" s="171">
        <f>-0.25*J65</f>
        <v>0</v>
      </c>
      <c r="K66" s="172"/>
      <c r="L66" s="62"/>
      <c r="M66" s="6"/>
      <c r="N66" s="52"/>
      <c r="O66" s="46"/>
      <c r="Q66" s="139"/>
    </row>
    <row r="67" spans="1:17" s="2" customFormat="1" ht="25.15" hidden="1" customHeight="1" x14ac:dyDescent="0.25">
      <c r="A67" s="139"/>
      <c r="B67" s="42"/>
      <c r="C67" s="50">
        <v>14</v>
      </c>
      <c r="D67" s="173" t="s">
        <v>338</v>
      </c>
      <c r="E67" s="174"/>
      <c r="F67" s="174"/>
      <c r="G67" s="174"/>
      <c r="H67" s="174"/>
      <c r="I67" s="120"/>
      <c r="J67" s="175">
        <f>J65+J66</f>
        <v>0</v>
      </c>
      <c r="K67" s="172"/>
      <c r="L67" s="62"/>
      <c r="M67" s="6"/>
      <c r="N67" s="52"/>
      <c r="O67" s="46"/>
      <c r="Q67" s="139"/>
    </row>
    <row r="68" spans="1:17" ht="6" hidden="1" customHeight="1" thickBot="1" x14ac:dyDescent="0.3">
      <c r="B68" s="41"/>
      <c r="C68" s="66"/>
      <c r="D68" s="4"/>
      <c r="E68" s="4"/>
      <c r="F68" s="4"/>
      <c r="G68" s="4"/>
      <c r="H68" s="4"/>
      <c r="I68" s="4"/>
      <c r="J68" s="4"/>
      <c r="K68" s="4"/>
      <c r="L68" s="4"/>
      <c r="M68" s="4"/>
      <c r="N68" s="67"/>
      <c r="O68" s="45"/>
    </row>
    <row r="69" spans="1:17" s="2" customFormat="1" ht="27" hidden="1" customHeight="1" thickBot="1" x14ac:dyDescent="0.3">
      <c r="A69" s="139"/>
      <c r="B69" s="42"/>
      <c r="C69" s="84"/>
      <c r="D69" s="82" t="s">
        <v>10</v>
      </c>
      <c r="E69" s="176"/>
      <c r="F69" s="176"/>
      <c r="G69" s="176"/>
      <c r="H69" s="176"/>
      <c r="I69" s="176"/>
      <c r="J69" s="176"/>
      <c r="K69" s="176"/>
      <c r="L69" s="177"/>
      <c r="M69" s="24" t="s">
        <v>8</v>
      </c>
      <c r="N69" s="85"/>
      <c r="O69" s="46"/>
      <c r="Q69" s="139"/>
    </row>
    <row r="70" spans="1:17" s="2" customFormat="1" ht="28.15" hidden="1" customHeight="1" x14ac:dyDescent="0.25">
      <c r="A70" s="139"/>
      <c r="B70" s="42"/>
      <c r="C70" s="100" t="s">
        <v>11</v>
      </c>
      <c r="D70" s="93"/>
      <c r="E70" s="94"/>
      <c r="F70" s="94"/>
      <c r="G70" s="95"/>
      <c r="H70" s="96"/>
      <c r="I70" s="97"/>
      <c r="J70" s="97"/>
      <c r="K70" s="97"/>
      <c r="L70" s="101"/>
      <c r="M70" s="98"/>
      <c r="N70" s="99"/>
      <c r="O70" s="46"/>
      <c r="Q70" s="139"/>
    </row>
    <row r="71" spans="1:17" s="19" customFormat="1" ht="4.5" hidden="1" customHeight="1" x14ac:dyDescent="0.25">
      <c r="A71" s="139"/>
      <c r="B71" s="43"/>
      <c r="C71" s="179">
        <v>12</v>
      </c>
      <c r="D71" s="16"/>
      <c r="E71" s="16"/>
      <c r="F71" s="16"/>
      <c r="G71" s="16"/>
      <c r="H71" s="17"/>
      <c r="I71" s="20"/>
      <c r="J71" s="16"/>
      <c r="K71" s="17"/>
      <c r="L71" s="20"/>
      <c r="M71" s="18"/>
      <c r="N71" s="51"/>
      <c r="O71" s="47"/>
      <c r="Q71" s="139"/>
    </row>
    <row r="72" spans="1:17" s="2" customFormat="1" ht="25.15" hidden="1" customHeight="1" x14ac:dyDescent="0.25">
      <c r="A72" s="139"/>
      <c r="B72" s="42"/>
      <c r="C72" s="179"/>
      <c r="D72" s="170" t="s">
        <v>336</v>
      </c>
      <c r="E72" s="170"/>
      <c r="F72" s="170"/>
      <c r="G72" s="170"/>
      <c r="H72" s="170"/>
      <c r="I72" s="60"/>
      <c r="J72" s="183"/>
      <c r="K72" s="184"/>
      <c r="L72" s="60"/>
      <c r="M72" s="6"/>
      <c r="N72" s="52"/>
      <c r="O72" s="46"/>
      <c r="Q72" s="139"/>
    </row>
    <row r="73" spans="1:17" s="2" customFormat="1" ht="25.15" hidden="1" customHeight="1" x14ac:dyDescent="0.25">
      <c r="A73" s="139"/>
      <c r="B73" s="42"/>
      <c r="C73" s="50">
        <v>13</v>
      </c>
      <c r="D73" s="169" t="s">
        <v>337</v>
      </c>
      <c r="E73" s="170"/>
      <c r="F73" s="170"/>
      <c r="G73" s="170"/>
      <c r="H73" s="170"/>
      <c r="I73" s="121"/>
      <c r="J73" s="171">
        <f>-0.25*J72</f>
        <v>0</v>
      </c>
      <c r="K73" s="172"/>
      <c r="L73" s="62"/>
      <c r="M73" s="6"/>
      <c r="N73" s="52"/>
      <c r="O73" s="46"/>
      <c r="Q73" s="139"/>
    </row>
    <row r="74" spans="1:17" s="2" customFormat="1" ht="25.15" hidden="1" customHeight="1" x14ac:dyDescent="0.25">
      <c r="A74" s="139"/>
      <c r="B74" s="42"/>
      <c r="C74" s="50">
        <v>14</v>
      </c>
      <c r="D74" s="173" t="s">
        <v>338</v>
      </c>
      <c r="E74" s="174"/>
      <c r="F74" s="174"/>
      <c r="G74" s="174"/>
      <c r="H74" s="174"/>
      <c r="I74" s="120"/>
      <c r="J74" s="175">
        <f>J72+J73</f>
        <v>0</v>
      </c>
      <c r="K74" s="172"/>
      <c r="L74" s="62"/>
      <c r="M74" s="6"/>
      <c r="N74" s="52"/>
      <c r="O74" s="46"/>
      <c r="Q74" s="139"/>
    </row>
    <row r="75" spans="1:17" ht="6" hidden="1" customHeight="1" thickBot="1" x14ac:dyDescent="0.3">
      <c r="B75" s="41"/>
      <c r="C75" s="66"/>
      <c r="D75" s="4"/>
      <c r="E75" s="4"/>
      <c r="F75" s="4"/>
      <c r="G75" s="4"/>
      <c r="H75" s="4"/>
      <c r="I75" s="4"/>
      <c r="J75" s="4"/>
      <c r="K75" s="4"/>
      <c r="L75" s="4"/>
      <c r="M75" s="4"/>
      <c r="N75" s="67"/>
      <c r="O75" s="45"/>
    </row>
    <row r="76" spans="1:17" s="2" customFormat="1" ht="27" hidden="1" customHeight="1" thickBot="1" x14ac:dyDescent="0.3">
      <c r="A76" s="139"/>
      <c r="B76" s="42"/>
      <c r="C76" s="84"/>
      <c r="D76" s="82" t="s">
        <v>10</v>
      </c>
      <c r="E76" s="176"/>
      <c r="F76" s="176"/>
      <c r="G76" s="176"/>
      <c r="H76" s="176"/>
      <c r="I76" s="176"/>
      <c r="J76" s="176"/>
      <c r="K76" s="176"/>
      <c r="L76" s="177"/>
      <c r="M76" s="24" t="s">
        <v>8</v>
      </c>
      <c r="N76" s="85"/>
      <c r="O76" s="46"/>
      <c r="Q76" s="139"/>
    </row>
    <row r="77" spans="1:17" s="2" customFormat="1" ht="28.15" hidden="1" customHeight="1" x14ac:dyDescent="0.25">
      <c r="A77" s="139"/>
      <c r="B77" s="42"/>
      <c r="C77" s="100" t="s">
        <v>11</v>
      </c>
      <c r="D77" s="93"/>
      <c r="E77" s="94"/>
      <c r="F77" s="94"/>
      <c r="G77" s="95"/>
      <c r="H77" s="96"/>
      <c r="I77" s="97"/>
      <c r="J77" s="97"/>
      <c r="K77" s="97"/>
      <c r="L77" s="101"/>
      <c r="M77" s="98"/>
      <c r="N77" s="99"/>
      <c r="O77" s="46"/>
      <c r="Q77" s="139"/>
    </row>
    <row r="78" spans="1:17" s="19" customFormat="1" ht="4.5" hidden="1" customHeight="1" x14ac:dyDescent="0.25">
      <c r="A78" s="139"/>
      <c r="B78" s="43"/>
      <c r="C78" s="179">
        <v>12</v>
      </c>
      <c r="D78" s="16"/>
      <c r="E78" s="16"/>
      <c r="F78" s="16"/>
      <c r="G78" s="16"/>
      <c r="H78" s="17"/>
      <c r="I78" s="20"/>
      <c r="J78" s="16"/>
      <c r="K78" s="17"/>
      <c r="L78" s="20"/>
      <c r="M78" s="18"/>
      <c r="N78" s="51"/>
      <c r="O78" s="47"/>
      <c r="Q78" s="139"/>
    </row>
    <row r="79" spans="1:17" s="2" customFormat="1" ht="25.15" hidden="1" customHeight="1" x14ac:dyDescent="0.25">
      <c r="A79" s="139"/>
      <c r="B79" s="42"/>
      <c r="C79" s="179"/>
      <c r="D79" s="170" t="s">
        <v>336</v>
      </c>
      <c r="E79" s="170"/>
      <c r="F79" s="170"/>
      <c r="G79" s="170"/>
      <c r="H79" s="170"/>
      <c r="I79" s="60"/>
      <c r="J79" s="183"/>
      <c r="K79" s="184"/>
      <c r="L79" s="60"/>
      <c r="M79" s="6"/>
      <c r="N79" s="52"/>
      <c r="O79" s="46"/>
      <c r="Q79" s="139"/>
    </row>
    <row r="80" spans="1:17" s="2" customFormat="1" ht="25.15" hidden="1" customHeight="1" x14ac:dyDescent="0.25">
      <c r="A80" s="139"/>
      <c r="B80" s="42"/>
      <c r="C80" s="50">
        <v>13</v>
      </c>
      <c r="D80" s="169" t="s">
        <v>337</v>
      </c>
      <c r="E80" s="170"/>
      <c r="F80" s="170"/>
      <c r="G80" s="170"/>
      <c r="H80" s="170"/>
      <c r="I80" s="121"/>
      <c r="J80" s="171">
        <f>-0.25*J79</f>
        <v>0</v>
      </c>
      <c r="K80" s="172"/>
      <c r="L80" s="62"/>
      <c r="M80" s="6"/>
      <c r="N80" s="52"/>
      <c r="O80" s="46"/>
      <c r="Q80" s="139"/>
    </row>
    <row r="81" spans="1:17" s="2" customFormat="1" ht="25.15" hidden="1" customHeight="1" x14ac:dyDescent="0.25">
      <c r="A81" s="139"/>
      <c r="B81" s="42"/>
      <c r="C81" s="50">
        <v>14</v>
      </c>
      <c r="D81" s="173" t="s">
        <v>338</v>
      </c>
      <c r="E81" s="174"/>
      <c r="F81" s="174"/>
      <c r="G81" s="174"/>
      <c r="H81" s="174"/>
      <c r="I81" s="120"/>
      <c r="J81" s="175">
        <f>J79+J80</f>
        <v>0</v>
      </c>
      <c r="K81" s="172"/>
      <c r="L81" s="62"/>
      <c r="M81" s="6"/>
      <c r="N81" s="52"/>
      <c r="O81" s="46"/>
      <c r="Q81" s="139"/>
    </row>
    <row r="82" spans="1:17" ht="6" hidden="1" customHeight="1" thickBot="1" x14ac:dyDescent="0.3">
      <c r="B82" s="41"/>
      <c r="C82" s="65"/>
      <c r="D82" s="4"/>
      <c r="E82" s="4"/>
      <c r="F82" s="4"/>
      <c r="G82" s="4"/>
      <c r="H82" s="4"/>
      <c r="I82" s="4"/>
      <c r="J82" s="4"/>
      <c r="K82" s="4"/>
      <c r="L82" s="4"/>
      <c r="M82" s="4"/>
      <c r="N82" s="64"/>
      <c r="O82" s="45"/>
    </row>
    <row r="83" spans="1:17" s="2" customFormat="1" ht="12" customHeight="1" thickBot="1" x14ac:dyDescent="0.3">
      <c r="A83" s="139"/>
      <c r="B83" s="42"/>
      <c r="C83" s="63"/>
      <c r="D83" s="63"/>
      <c r="E83" s="63"/>
      <c r="F83" s="63"/>
      <c r="G83" s="63"/>
      <c r="H83" s="63"/>
      <c r="I83" s="63"/>
      <c r="J83" s="63"/>
      <c r="K83" s="63"/>
      <c r="L83" s="63"/>
      <c r="M83" s="63"/>
      <c r="N83" s="63"/>
      <c r="O83" s="46"/>
      <c r="Q83" s="139"/>
    </row>
    <row r="84" spans="1:17" s="2" customFormat="1" ht="15.6" customHeight="1" thickBot="1" x14ac:dyDescent="0.3">
      <c r="A84" s="139"/>
      <c r="B84" s="68"/>
      <c r="C84" s="63"/>
      <c r="D84" s="63"/>
      <c r="E84" s="63"/>
      <c r="F84" s="63"/>
      <c r="G84" s="63"/>
      <c r="H84" s="63"/>
      <c r="I84" s="63"/>
      <c r="J84" s="63"/>
      <c r="K84" s="63"/>
      <c r="L84" s="63"/>
      <c r="M84" s="63"/>
      <c r="N84" s="63"/>
      <c r="O84" s="69"/>
      <c r="Q84" s="139"/>
    </row>
    <row r="85" spans="1:17" ht="28.15" customHeight="1" thickBot="1" x14ac:dyDescent="0.3">
      <c r="B85" s="194" t="s">
        <v>339</v>
      </c>
      <c r="C85" s="195"/>
      <c r="D85" s="195"/>
      <c r="E85" s="195"/>
      <c r="F85" s="195"/>
      <c r="G85" s="195"/>
      <c r="H85" s="195"/>
      <c r="I85" s="195"/>
      <c r="J85" s="36"/>
      <c r="K85" s="36"/>
      <c r="L85" s="36"/>
      <c r="M85" s="36"/>
      <c r="N85" s="36"/>
      <c r="O85" s="37"/>
    </row>
    <row r="86" spans="1:17" ht="9" customHeight="1" thickBot="1" x14ac:dyDescent="0.3">
      <c r="B86" s="40"/>
      <c r="C86" s="4"/>
      <c r="D86" s="4"/>
      <c r="E86" s="4"/>
      <c r="F86" s="4"/>
      <c r="G86" s="4"/>
      <c r="H86" s="4"/>
      <c r="I86" s="4"/>
      <c r="J86" s="4"/>
      <c r="K86" s="4"/>
      <c r="L86" s="4"/>
      <c r="M86" s="4"/>
      <c r="N86" s="4"/>
      <c r="O86" s="44"/>
    </row>
    <row r="87" spans="1:17" ht="28.15" customHeight="1" thickBot="1" x14ac:dyDescent="0.3">
      <c r="B87" s="107"/>
      <c r="C87" s="35"/>
      <c r="D87" s="194" t="s">
        <v>5</v>
      </c>
      <c r="E87" s="195"/>
      <c r="F87" s="195"/>
      <c r="G87" s="195"/>
      <c r="H87" s="195"/>
      <c r="I87" s="36"/>
      <c r="J87" s="36"/>
      <c r="K87" s="36"/>
      <c r="L87" s="36"/>
      <c r="M87" s="36"/>
      <c r="N87" s="38"/>
      <c r="O87" s="45"/>
    </row>
    <row r="88" spans="1:17" ht="6" hidden="1" customHeight="1" thickBot="1" x14ac:dyDescent="0.3">
      <c r="B88" s="107"/>
      <c r="C88" s="40"/>
      <c r="D88" s="4"/>
      <c r="E88" s="4"/>
      <c r="F88" s="4"/>
      <c r="G88" s="4"/>
      <c r="H88" s="4"/>
      <c r="I88" s="4"/>
      <c r="J88" s="4"/>
      <c r="K88" s="4"/>
      <c r="L88" s="4"/>
      <c r="M88" s="4"/>
      <c r="N88" s="48"/>
      <c r="O88" s="45"/>
    </row>
    <row r="89" spans="1:17" s="2" customFormat="1" ht="27" hidden="1" customHeight="1" thickBot="1" x14ac:dyDescent="0.3">
      <c r="A89" s="139"/>
      <c r="B89" s="107"/>
      <c r="C89" s="84"/>
      <c r="D89" s="82" t="s">
        <v>10</v>
      </c>
      <c r="E89" s="176"/>
      <c r="F89" s="176"/>
      <c r="G89" s="176"/>
      <c r="H89" s="176"/>
      <c r="I89" s="176"/>
      <c r="J89" s="176"/>
      <c r="K89" s="176"/>
      <c r="L89" s="177"/>
      <c r="M89" s="24" t="s">
        <v>8</v>
      </c>
      <c r="N89" s="85"/>
      <c r="O89" s="46"/>
      <c r="Q89" s="139"/>
    </row>
    <row r="90" spans="1:17" s="2" customFormat="1" ht="28.15" hidden="1" customHeight="1" x14ac:dyDescent="0.25">
      <c r="A90" s="139"/>
      <c r="B90" s="107"/>
      <c r="C90" s="83" t="s">
        <v>11</v>
      </c>
      <c r="D90" s="93"/>
      <c r="E90" s="94"/>
      <c r="F90" s="94"/>
      <c r="G90" s="95"/>
      <c r="H90" s="96"/>
      <c r="I90" s="97" t="str">
        <f>IF(ISNUMBER($I$8),$I$8,"")</f>
        <v/>
      </c>
      <c r="J90" s="94"/>
      <c r="K90" s="96"/>
      <c r="L90" s="97" t="str">
        <f>IF(ISNUMBER($L$8),$L$8,"")</f>
        <v/>
      </c>
      <c r="M90" s="98"/>
      <c r="N90" s="99"/>
      <c r="O90" s="46"/>
      <c r="Q90" s="139"/>
    </row>
    <row r="91" spans="1:17" s="19" customFormat="1" ht="4.5" hidden="1" customHeight="1" x14ac:dyDescent="0.25">
      <c r="A91" s="139"/>
      <c r="B91" s="107"/>
      <c r="C91" s="179">
        <v>15</v>
      </c>
      <c r="D91" s="16"/>
      <c r="E91" s="16"/>
      <c r="F91" s="16"/>
      <c r="G91" s="16"/>
      <c r="H91" s="17"/>
      <c r="I91" s="20"/>
      <c r="J91" s="16"/>
      <c r="K91" s="17"/>
      <c r="L91" s="20"/>
      <c r="M91" s="18"/>
      <c r="N91" s="51"/>
      <c r="O91" s="47"/>
      <c r="Q91" s="139"/>
    </row>
    <row r="92" spans="1:17" s="2" customFormat="1" ht="25.15" hidden="1" customHeight="1" x14ac:dyDescent="0.25">
      <c r="A92" s="139"/>
      <c r="B92" s="107"/>
      <c r="C92" s="179"/>
      <c r="D92" s="170" t="s">
        <v>395</v>
      </c>
      <c r="E92" s="170"/>
      <c r="F92" s="170"/>
      <c r="G92" s="170"/>
      <c r="H92" s="170"/>
      <c r="I92" s="164"/>
      <c r="J92" s="6"/>
      <c r="K92" s="6"/>
      <c r="L92" s="164"/>
      <c r="M92" s="6"/>
      <c r="N92" s="52"/>
      <c r="O92" s="46"/>
      <c r="Q92" s="139"/>
    </row>
    <row r="93" spans="1:17" s="2" customFormat="1" ht="25.15" hidden="1" customHeight="1" x14ac:dyDescent="0.25">
      <c r="A93" s="139"/>
      <c r="B93" s="107"/>
      <c r="C93" s="50">
        <v>16</v>
      </c>
      <c r="D93" s="169" t="s">
        <v>370</v>
      </c>
      <c r="E93" s="170"/>
      <c r="F93" s="170"/>
      <c r="G93" s="170"/>
      <c r="H93" s="170"/>
      <c r="I93" s="25"/>
      <c r="J93" s="6"/>
      <c r="K93" s="6"/>
      <c r="L93" s="26"/>
      <c r="M93" s="6"/>
      <c r="N93" s="52"/>
      <c r="O93" s="46"/>
      <c r="Q93" s="139"/>
    </row>
    <row r="94" spans="1:17" s="2" customFormat="1" ht="25.15" hidden="1" customHeight="1" x14ac:dyDescent="0.25">
      <c r="A94" s="139"/>
      <c r="B94" s="107"/>
      <c r="C94" s="131">
        <v>17</v>
      </c>
      <c r="D94" s="178" t="s">
        <v>371</v>
      </c>
      <c r="E94" s="169"/>
      <c r="F94" s="169"/>
      <c r="G94" s="169"/>
      <c r="H94" s="22" t="s">
        <v>15</v>
      </c>
      <c r="I94" s="25"/>
      <c r="J94" s="23" t="s">
        <v>16</v>
      </c>
      <c r="K94" s="22" t="s">
        <v>15</v>
      </c>
      <c r="L94" s="26"/>
      <c r="M94" s="23" t="s">
        <v>16</v>
      </c>
      <c r="N94" s="52"/>
      <c r="O94" s="46"/>
      <c r="Q94" s="139"/>
    </row>
    <row r="95" spans="1:17" s="2" customFormat="1" ht="25.15" hidden="1" customHeight="1" x14ac:dyDescent="0.25">
      <c r="A95" s="139"/>
      <c r="B95" s="107"/>
      <c r="C95" s="142">
        <v>18</v>
      </c>
      <c r="D95" s="169" t="s">
        <v>330</v>
      </c>
      <c r="E95" s="170"/>
      <c r="F95" s="170"/>
      <c r="G95" s="170"/>
      <c r="H95" s="170"/>
      <c r="I95" s="25"/>
      <c r="J95" s="6"/>
      <c r="K95" s="6"/>
      <c r="L95" s="26"/>
      <c r="M95" s="6"/>
      <c r="N95" s="52"/>
      <c r="O95" s="46"/>
      <c r="Q95" s="139"/>
    </row>
    <row r="96" spans="1:17" s="2" customFormat="1" ht="25.15" hidden="1" customHeight="1" x14ac:dyDescent="0.25">
      <c r="A96" s="139"/>
      <c r="B96" s="107"/>
      <c r="C96" s="142">
        <v>19</v>
      </c>
      <c r="D96" s="169" t="s">
        <v>331</v>
      </c>
      <c r="E96" s="170"/>
      <c r="F96" s="170"/>
      <c r="G96" s="170"/>
      <c r="H96" s="170"/>
      <c r="I96" s="25"/>
      <c r="J96" s="6"/>
      <c r="K96" s="6"/>
      <c r="L96" s="26"/>
      <c r="M96" s="6"/>
      <c r="N96" s="52"/>
      <c r="O96" s="47"/>
      <c r="Q96" s="139"/>
    </row>
    <row r="97" spans="1:17" s="2" customFormat="1" ht="25.15" hidden="1" customHeight="1" x14ac:dyDescent="0.25">
      <c r="A97" s="139"/>
      <c r="B97" s="107"/>
      <c r="C97" s="142">
        <v>20</v>
      </c>
      <c r="D97" s="169" t="s">
        <v>332</v>
      </c>
      <c r="E97" s="170"/>
      <c r="F97" s="170"/>
      <c r="G97" s="170"/>
      <c r="H97" s="170"/>
      <c r="I97" s="25"/>
      <c r="J97" s="6"/>
      <c r="K97" s="6"/>
      <c r="L97" s="26"/>
      <c r="M97" s="6"/>
      <c r="N97" s="52"/>
      <c r="O97" s="46"/>
      <c r="Q97" s="139"/>
    </row>
    <row r="98" spans="1:17" s="2" customFormat="1" ht="25.15" hidden="1" customHeight="1" x14ac:dyDescent="0.25">
      <c r="A98" s="139"/>
      <c r="B98" s="107"/>
      <c r="C98" s="142">
        <v>21</v>
      </c>
      <c r="D98" s="169" t="s">
        <v>333</v>
      </c>
      <c r="E98" s="170"/>
      <c r="F98" s="170"/>
      <c r="G98" s="170"/>
      <c r="H98" s="170"/>
      <c r="I98" s="25"/>
      <c r="J98" s="6"/>
      <c r="K98" s="6"/>
      <c r="L98" s="26"/>
      <c r="M98" s="6"/>
      <c r="N98" s="52"/>
      <c r="O98" s="46"/>
      <c r="Q98" s="139"/>
    </row>
    <row r="99" spans="1:17" s="2" customFormat="1" ht="37.9" hidden="1" customHeight="1" x14ac:dyDescent="0.25">
      <c r="A99" s="139"/>
      <c r="B99" s="107"/>
      <c r="C99" s="142">
        <v>22</v>
      </c>
      <c r="D99" s="134" t="s">
        <v>9</v>
      </c>
      <c r="E99" s="181" t="s">
        <v>334</v>
      </c>
      <c r="F99" s="182"/>
      <c r="G99" s="182"/>
      <c r="H99" s="12"/>
      <c r="I99" s="25"/>
      <c r="J99" s="6"/>
      <c r="K99" s="6"/>
      <c r="L99" s="26"/>
      <c r="M99" s="6"/>
      <c r="N99" s="52"/>
      <c r="O99" s="46"/>
      <c r="Q99" s="139"/>
    </row>
    <row r="100" spans="1:17" s="2" customFormat="1" ht="37.9" hidden="1" customHeight="1" x14ac:dyDescent="0.25">
      <c r="A100" s="139"/>
      <c r="B100" s="107"/>
      <c r="C100" s="142">
        <v>23</v>
      </c>
      <c r="D100" s="73" t="s">
        <v>12</v>
      </c>
      <c r="E100" s="31"/>
      <c r="F100" s="31"/>
      <c r="G100" s="31"/>
      <c r="H100" s="14"/>
      <c r="I100" s="28">
        <f>I93-I94+SUM(I95:I99)</f>
        <v>0</v>
      </c>
      <c r="J100" s="29"/>
      <c r="K100" s="29"/>
      <c r="L100" s="28">
        <f>L93-L94+SUM(L95:L99)</f>
        <v>0</v>
      </c>
      <c r="M100" s="6"/>
      <c r="N100" s="52"/>
      <c r="O100" s="47"/>
      <c r="Q100" s="139"/>
    </row>
    <row r="101" spans="1:17" s="2" customFormat="1" ht="29.45" hidden="1" customHeight="1" x14ac:dyDescent="0.25">
      <c r="A101" s="139"/>
      <c r="B101" s="107"/>
      <c r="C101" s="142">
        <v>24</v>
      </c>
      <c r="D101" s="102" t="s">
        <v>13</v>
      </c>
      <c r="E101" s="13"/>
      <c r="F101" s="13"/>
      <c r="G101" s="13"/>
      <c r="H101" s="14"/>
      <c r="I101" s="30" t="str">
        <f>IFERROR(I100/I92,"N/A")</f>
        <v>N/A</v>
      </c>
      <c r="J101" s="29"/>
      <c r="K101" s="29"/>
      <c r="L101" s="30" t="str">
        <f>IFERROR(L100/L92,"N/A")</f>
        <v>N/A</v>
      </c>
      <c r="M101" s="6"/>
      <c r="N101" s="52"/>
      <c r="O101" s="46"/>
      <c r="Q101" s="139"/>
    </row>
    <row r="102" spans="1:17" s="2" customFormat="1" ht="25.15" hidden="1" customHeight="1" x14ac:dyDescent="0.25">
      <c r="A102" s="139"/>
      <c r="B102" s="107"/>
      <c r="C102" s="142">
        <v>25</v>
      </c>
      <c r="D102" s="15" t="s">
        <v>340</v>
      </c>
      <c r="E102" s="12"/>
      <c r="F102" s="12"/>
      <c r="G102" s="12"/>
      <c r="H102" s="22" t="s">
        <v>15</v>
      </c>
      <c r="I102" s="27"/>
      <c r="J102" s="23" t="s">
        <v>16</v>
      </c>
      <c r="K102" s="22" t="s">
        <v>15</v>
      </c>
      <c r="L102" s="27"/>
      <c r="M102" s="23" t="s">
        <v>16</v>
      </c>
      <c r="N102" s="52"/>
      <c r="O102" s="46"/>
      <c r="Q102" s="139"/>
    </row>
    <row r="103" spans="1:17" s="2" customFormat="1" ht="29.45" hidden="1" customHeight="1" x14ac:dyDescent="0.25">
      <c r="A103" s="139"/>
      <c r="B103" s="107"/>
      <c r="C103" s="142">
        <v>26</v>
      </c>
      <c r="D103" s="103" t="s">
        <v>14</v>
      </c>
      <c r="E103" s="72"/>
      <c r="F103" s="72"/>
      <c r="G103" s="72"/>
      <c r="H103" s="21"/>
      <c r="I103" s="55" t="str">
        <f>IFERROR(I101-I102,"N/A")</f>
        <v>N/A</v>
      </c>
      <c r="J103" s="6"/>
      <c r="K103" s="6"/>
      <c r="L103" s="55" t="str">
        <f>IFERROR(L101-L102,"N/A")</f>
        <v>N/A</v>
      </c>
      <c r="M103" s="6"/>
      <c r="N103" s="52"/>
      <c r="O103" s="47"/>
      <c r="Q103" s="139"/>
    </row>
    <row r="104" spans="1:17" s="2" customFormat="1" ht="29.45" hidden="1" customHeight="1" x14ac:dyDescent="0.25">
      <c r="A104" s="139"/>
      <c r="B104" s="107"/>
      <c r="C104" s="142">
        <v>27</v>
      </c>
      <c r="D104" s="70" t="str">
        <f>"Average NET Monthly Rental Income (Loss) "&amp;IF(AND(ISNUMBER(I92),ISNUMBER(L92)),I92+L92,IF(ISNUMBER(I92),I92,IF(ISNUMBER(L92),L92,"____")))&amp;" months"</f>
        <v>Average NET Monthly Rental Income (Loss) ____ months</v>
      </c>
      <c r="E104" s="74"/>
      <c r="F104" s="74"/>
      <c r="G104" s="74"/>
      <c r="H104" s="75"/>
      <c r="I104" s="76"/>
      <c r="J104" s="168" t="str">
        <f>IF(AND(ISNUMBER(I92),ISNUMBER(L92),ISNUMBER(I103),ISNUMBER(L103)),((I92*I103)+(L92*L103))/(I92+L92),IF(AND(OR(NOT(ISNUMBER(L92)),NOT(ISNUMBER(L103))),ISNUMBER(I92),ISNUMBER(I103)),I103,IF(AND(OR(NOT(ISNUMBER(I92)),NOT(ISNUMBER(I103))),ISNUMBER(L92),ISNUMBER(L103)),L103,"N/A")))</f>
        <v>N/A</v>
      </c>
      <c r="K104" s="168"/>
      <c r="L104" s="76"/>
      <c r="M104" s="77"/>
      <c r="N104" s="78"/>
      <c r="O104" s="47"/>
      <c r="Q104" s="139"/>
    </row>
    <row r="105" spans="1:17" s="2" customFormat="1" ht="9.6" hidden="1" customHeight="1" thickBot="1" x14ac:dyDescent="0.3">
      <c r="A105" s="139"/>
      <c r="B105" s="107"/>
      <c r="C105" s="53"/>
      <c r="D105" s="7"/>
      <c r="E105" s="7"/>
      <c r="F105" s="7"/>
      <c r="G105" s="7"/>
      <c r="H105" s="7"/>
      <c r="I105" s="7"/>
      <c r="J105" s="7"/>
      <c r="K105" s="7"/>
      <c r="L105" s="7"/>
      <c r="M105" s="7"/>
      <c r="N105" s="54"/>
      <c r="O105" s="46"/>
      <c r="Q105" s="139"/>
    </row>
    <row r="106" spans="1:17" s="2" customFormat="1" ht="27" hidden="1" customHeight="1" thickBot="1" x14ac:dyDescent="0.3">
      <c r="A106" s="139"/>
      <c r="B106" s="107"/>
      <c r="C106" s="84"/>
      <c r="D106" s="82" t="s">
        <v>10</v>
      </c>
      <c r="E106" s="176"/>
      <c r="F106" s="176"/>
      <c r="G106" s="176"/>
      <c r="H106" s="176"/>
      <c r="I106" s="176"/>
      <c r="J106" s="176"/>
      <c r="K106" s="176"/>
      <c r="L106" s="177"/>
      <c r="M106" s="24" t="s">
        <v>8</v>
      </c>
      <c r="N106" s="85"/>
      <c r="O106" s="46"/>
      <c r="Q106" s="139"/>
    </row>
    <row r="107" spans="1:17" s="2" customFormat="1" ht="28.15" hidden="1" customHeight="1" x14ac:dyDescent="0.25">
      <c r="A107" s="139"/>
      <c r="B107" s="107"/>
      <c r="C107" s="83" t="s">
        <v>11</v>
      </c>
      <c r="D107" s="93"/>
      <c r="E107" s="94"/>
      <c r="F107" s="94"/>
      <c r="G107" s="95"/>
      <c r="H107" s="96"/>
      <c r="I107" s="97" t="str">
        <f>IF(ISNUMBER($I$8),$I$8,"")</f>
        <v/>
      </c>
      <c r="J107" s="94"/>
      <c r="K107" s="96"/>
      <c r="L107" s="97" t="str">
        <f>IF(ISNUMBER($L$8),$L$8,"")</f>
        <v/>
      </c>
      <c r="M107" s="98"/>
      <c r="N107" s="99"/>
      <c r="O107" s="46"/>
      <c r="Q107" s="139"/>
    </row>
    <row r="108" spans="1:17" s="19" customFormat="1" ht="4.5" hidden="1" customHeight="1" x14ac:dyDescent="0.25">
      <c r="A108" s="139"/>
      <c r="B108" s="107"/>
      <c r="C108" s="179">
        <v>15</v>
      </c>
      <c r="D108" s="16"/>
      <c r="E108" s="16"/>
      <c r="F108" s="16"/>
      <c r="G108" s="16"/>
      <c r="H108" s="17"/>
      <c r="I108" s="20"/>
      <c r="J108" s="16"/>
      <c r="K108" s="17"/>
      <c r="L108" s="20"/>
      <c r="M108" s="18"/>
      <c r="N108" s="51"/>
      <c r="O108" s="47"/>
      <c r="Q108" s="139"/>
    </row>
    <row r="109" spans="1:17" s="2" customFormat="1" ht="25.15" hidden="1" customHeight="1" x14ac:dyDescent="0.25">
      <c r="A109" s="139"/>
      <c r="B109" s="107"/>
      <c r="C109" s="179"/>
      <c r="D109" s="170" t="s">
        <v>395</v>
      </c>
      <c r="E109" s="170"/>
      <c r="F109" s="170"/>
      <c r="G109" s="170"/>
      <c r="H109" s="170"/>
      <c r="I109" s="164"/>
      <c r="J109" s="6"/>
      <c r="K109" s="6"/>
      <c r="L109" s="164"/>
      <c r="M109" s="6"/>
      <c r="N109" s="52"/>
      <c r="O109" s="46"/>
      <c r="Q109" s="139"/>
    </row>
    <row r="110" spans="1:17" s="2" customFormat="1" ht="25.15" hidden="1" customHeight="1" x14ac:dyDescent="0.25">
      <c r="A110" s="139"/>
      <c r="B110" s="107"/>
      <c r="C110" s="135">
        <v>16</v>
      </c>
      <c r="D110" s="178" t="s">
        <v>370</v>
      </c>
      <c r="E110" s="169"/>
      <c r="F110" s="169"/>
      <c r="G110" s="169"/>
      <c r="H110" s="180"/>
      <c r="I110" s="25"/>
      <c r="J110" s="6"/>
      <c r="K110" s="6"/>
      <c r="L110" s="26"/>
      <c r="M110" s="6"/>
      <c r="N110" s="52"/>
      <c r="O110" s="46"/>
      <c r="Q110" s="139"/>
    </row>
    <row r="111" spans="1:17" s="2" customFormat="1" ht="25.15" hidden="1" customHeight="1" x14ac:dyDescent="0.25">
      <c r="A111" s="139"/>
      <c r="B111" s="107"/>
      <c r="C111" s="135">
        <v>17</v>
      </c>
      <c r="D111" s="178" t="s">
        <v>371</v>
      </c>
      <c r="E111" s="169"/>
      <c r="F111" s="169"/>
      <c r="G111" s="169"/>
      <c r="H111" s="22" t="s">
        <v>15</v>
      </c>
      <c r="I111" s="25"/>
      <c r="J111" s="23" t="s">
        <v>16</v>
      </c>
      <c r="K111" s="22" t="s">
        <v>15</v>
      </c>
      <c r="L111" s="26"/>
      <c r="M111" s="23" t="s">
        <v>16</v>
      </c>
      <c r="N111" s="52"/>
      <c r="O111" s="46"/>
      <c r="Q111" s="139"/>
    </row>
    <row r="112" spans="1:17" s="2" customFormat="1" ht="25.15" hidden="1" customHeight="1" x14ac:dyDescent="0.25">
      <c r="A112" s="139"/>
      <c r="B112" s="107"/>
      <c r="C112" s="142">
        <v>18</v>
      </c>
      <c r="D112" s="178" t="s">
        <v>330</v>
      </c>
      <c r="E112" s="169"/>
      <c r="F112" s="169"/>
      <c r="G112" s="169"/>
      <c r="H112" s="180"/>
      <c r="I112" s="25"/>
      <c r="J112" s="6"/>
      <c r="K112" s="6"/>
      <c r="L112" s="26"/>
      <c r="M112" s="6"/>
      <c r="N112" s="52"/>
      <c r="O112" s="46"/>
      <c r="Q112" s="139"/>
    </row>
    <row r="113" spans="1:17" s="2" customFormat="1" ht="25.15" hidden="1" customHeight="1" x14ac:dyDescent="0.25">
      <c r="A113" s="139"/>
      <c r="B113" s="107"/>
      <c r="C113" s="142">
        <v>19</v>
      </c>
      <c r="D113" s="178" t="s">
        <v>331</v>
      </c>
      <c r="E113" s="169"/>
      <c r="F113" s="169"/>
      <c r="G113" s="169"/>
      <c r="H113" s="180"/>
      <c r="I113" s="25"/>
      <c r="J113" s="6"/>
      <c r="K113" s="6"/>
      <c r="L113" s="26"/>
      <c r="M113" s="6"/>
      <c r="N113" s="52"/>
      <c r="O113" s="47"/>
      <c r="Q113" s="139"/>
    </row>
    <row r="114" spans="1:17" s="2" customFormat="1" ht="25.15" hidden="1" customHeight="1" x14ac:dyDescent="0.25">
      <c r="A114" s="139"/>
      <c r="B114" s="107"/>
      <c r="C114" s="142">
        <v>20</v>
      </c>
      <c r="D114" s="178" t="s">
        <v>332</v>
      </c>
      <c r="E114" s="169"/>
      <c r="F114" s="169"/>
      <c r="G114" s="169"/>
      <c r="H114" s="180"/>
      <c r="I114" s="25"/>
      <c r="J114" s="6"/>
      <c r="K114" s="6"/>
      <c r="L114" s="26"/>
      <c r="M114" s="6"/>
      <c r="N114" s="52"/>
      <c r="O114" s="46"/>
      <c r="Q114" s="139"/>
    </row>
    <row r="115" spans="1:17" s="2" customFormat="1" ht="25.15" hidden="1" customHeight="1" x14ac:dyDescent="0.25">
      <c r="A115" s="139"/>
      <c r="B115" s="107"/>
      <c r="C115" s="142">
        <v>21</v>
      </c>
      <c r="D115" s="178" t="s">
        <v>333</v>
      </c>
      <c r="E115" s="169"/>
      <c r="F115" s="169"/>
      <c r="G115" s="169"/>
      <c r="H115" s="180"/>
      <c r="I115" s="25"/>
      <c r="J115" s="6"/>
      <c r="K115" s="6"/>
      <c r="L115" s="26"/>
      <c r="M115" s="6"/>
      <c r="N115" s="52"/>
      <c r="O115" s="46"/>
      <c r="Q115" s="139"/>
    </row>
    <row r="116" spans="1:17" s="2" customFormat="1" ht="37.9" hidden="1" customHeight="1" x14ac:dyDescent="0.25">
      <c r="A116" s="139"/>
      <c r="B116" s="107"/>
      <c r="C116" s="142">
        <v>22</v>
      </c>
      <c r="D116" s="134" t="s">
        <v>9</v>
      </c>
      <c r="E116" s="181" t="s">
        <v>334</v>
      </c>
      <c r="F116" s="181"/>
      <c r="G116" s="181"/>
      <c r="H116" s="12"/>
      <c r="I116" s="25"/>
      <c r="J116" s="6"/>
      <c r="K116" s="6"/>
      <c r="L116" s="26"/>
      <c r="M116" s="6"/>
      <c r="N116" s="52"/>
      <c r="O116" s="46"/>
      <c r="Q116" s="139"/>
    </row>
    <row r="117" spans="1:17" s="2" customFormat="1" ht="37.9" hidden="1" customHeight="1" x14ac:dyDescent="0.25">
      <c r="A117" s="139"/>
      <c r="B117" s="107"/>
      <c r="C117" s="142">
        <v>23</v>
      </c>
      <c r="D117" s="73" t="s">
        <v>12</v>
      </c>
      <c r="E117" s="136"/>
      <c r="F117" s="136"/>
      <c r="G117" s="136"/>
      <c r="H117" s="14"/>
      <c r="I117" s="28">
        <f>I110-I111+SUM(I112:I116)</f>
        <v>0</v>
      </c>
      <c r="J117" s="29"/>
      <c r="K117" s="29"/>
      <c r="L117" s="28">
        <f>L110-L111+SUM(L112:L116)</f>
        <v>0</v>
      </c>
      <c r="M117" s="6"/>
      <c r="N117" s="52"/>
      <c r="O117" s="47"/>
      <c r="Q117" s="139"/>
    </row>
    <row r="118" spans="1:17" s="2" customFormat="1" ht="29.45" hidden="1" customHeight="1" x14ac:dyDescent="0.25">
      <c r="A118" s="139"/>
      <c r="B118" s="107"/>
      <c r="C118" s="142">
        <v>24</v>
      </c>
      <c r="D118" s="102" t="s">
        <v>13</v>
      </c>
      <c r="E118" s="13"/>
      <c r="F118" s="13"/>
      <c r="G118" s="13"/>
      <c r="H118" s="14"/>
      <c r="I118" s="30" t="str">
        <f>IFERROR(I117/I109,"N/A")</f>
        <v>N/A</v>
      </c>
      <c r="J118" s="29"/>
      <c r="K118" s="29"/>
      <c r="L118" s="30" t="str">
        <f>IFERROR(L117/L109,"N/A")</f>
        <v>N/A</v>
      </c>
      <c r="M118" s="6"/>
      <c r="N118" s="52"/>
      <c r="O118" s="46"/>
      <c r="Q118" s="139"/>
    </row>
    <row r="119" spans="1:17" s="2" customFormat="1" ht="25.15" hidden="1" customHeight="1" x14ac:dyDescent="0.25">
      <c r="A119" s="139"/>
      <c r="B119" s="107"/>
      <c r="C119" s="142">
        <v>25</v>
      </c>
      <c r="D119" s="15" t="s">
        <v>340</v>
      </c>
      <c r="E119" s="12"/>
      <c r="F119" s="12"/>
      <c r="G119" s="12"/>
      <c r="H119" s="22" t="s">
        <v>15</v>
      </c>
      <c r="I119" s="27"/>
      <c r="J119" s="23" t="s">
        <v>16</v>
      </c>
      <c r="K119" s="22" t="s">
        <v>15</v>
      </c>
      <c r="L119" s="27"/>
      <c r="M119" s="23" t="s">
        <v>16</v>
      </c>
      <c r="N119" s="52"/>
      <c r="O119" s="46"/>
      <c r="Q119" s="139"/>
    </row>
    <row r="120" spans="1:17" s="2" customFormat="1" ht="29.45" hidden="1" customHeight="1" x14ac:dyDescent="0.25">
      <c r="A120" s="139"/>
      <c r="B120" s="107"/>
      <c r="C120" s="142">
        <v>26</v>
      </c>
      <c r="D120" s="103" t="s">
        <v>14</v>
      </c>
      <c r="E120" s="72"/>
      <c r="F120" s="72"/>
      <c r="G120" s="72"/>
      <c r="H120" s="21"/>
      <c r="I120" s="55" t="str">
        <f>IFERROR(I118-I119,"N/A")</f>
        <v>N/A</v>
      </c>
      <c r="J120" s="6"/>
      <c r="K120" s="6"/>
      <c r="L120" s="55" t="str">
        <f>IFERROR(L118-L119,"N/A")</f>
        <v>N/A</v>
      </c>
      <c r="M120" s="6"/>
      <c r="N120" s="52"/>
      <c r="O120" s="47"/>
      <c r="Q120" s="139"/>
    </row>
    <row r="121" spans="1:17" s="2" customFormat="1" ht="29.45" hidden="1" customHeight="1" x14ac:dyDescent="0.25">
      <c r="A121" s="139"/>
      <c r="B121" s="107"/>
      <c r="C121" s="142">
        <v>27</v>
      </c>
      <c r="D121" s="70" t="str">
        <f>"Average NET Monthly Rental Income (Loss) "&amp;IF(AND(ISNUMBER(I109),ISNUMBER(L109)),I109+L109,IF(ISNUMBER(I109),I109,IF(ISNUMBER(L109),L109,"____")))&amp;" months"</f>
        <v>Average NET Monthly Rental Income (Loss) ____ months</v>
      </c>
      <c r="E121" s="74"/>
      <c r="F121" s="74"/>
      <c r="G121" s="74"/>
      <c r="H121" s="75"/>
      <c r="I121" s="76"/>
      <c r="J121" s="168" t="str">
        <f>IF(AND(ISNUMBER(I109),ISNUMBER(L109),ISNUMBER(I120),ISNUMBER(L120)),((I109*I120)+(L109*L120))/(I109+L109),IF(AND(OR(NOT(ISNUMBER(L109)),NOT(ISNUMBER(L120))),ISNUMBER(I109),ISNUMBER(I120)),I120,IF(AND(OR(NOT(ISNUMBER(I109)),NOT(ISNUMBER(I120))),ISNUMBER(L109),ISNUMBER(L120)),L120,"N/A")))</f>
        <v>N/A</v>
      </c>
      <c r="K121" s="168"/>
      <c r="L121" s="76"/>
      <c r="M121" s="77"/>
      <c r="N121" s="78"/>
      <c r="O121" s="47"/>
      <c r="Q121" s="139"/>
    </row>
    <row r="122" spans="1:17" s="2" customFormat="1" ht="9.6" hidden="1" customHeight="1" thickBot="1" x14ac:dyDescent="0.3">
      <c r="A122" s="139"/>
      <c r="B122" s="107"/>
      <c r="C122" s="53"/>
      <c r="D122" s="7"/>
      <c r="E122" s="7"/>
      <c r="F122" s="7"/>
      <c r="G122" s="7"/>
      <c r="H122" s="7"/>
      <c r="I122" s="7"/>
      <c r="J122" s="7"/>
      <c r="K122" s="7"/>
      <c r="L122" s="7"/>
      <c r="M122" s="7"/>
      <c r="N122" s="54"/>
      <c r="O122" s="46"/>
      <c r="Q122" s="139"/>
    </row>
    <row r="123" spans="1:17" s="2" customFormat="1" ht="27" hidden="1" customHeight="1" thickBot="1" x14ac:dyDescent="0.3">
      <c r="A123" s="139"/>
      <c r="B123" s="107"/>
      <c r="C123" s="84"/>
      <c r="D123" s="82" t="s">
        <v>10</v>
      </c>
      <c r="E123" s="176"/>
      <c r="F123" s="176"/>
      <c r="G123" s="176"/>
      <c r="H123" s="176"/>
      <c r="I123" s="176"/>
      <c r="J123" s="176"/>
      <c r="K123" s="176"/>
      <c r="L123" s="177"/>
      <c r="M123" s="24" t="s">
        <v>8</v>
      </c>
      <c r="N123" s="85"/>
      <c r="O123" s="46"/>
      <c r="Q123" s="139"/>
    </row>
    <row r="124" spans="1:17" s="2" customFormat="1" ht="28.15" hidden="1" customHeight="1" x14ac:dyDescent="0.25">
      <c r="A124" s="139"/>
      <c r="B124" s="107"/>
      <c r="C124" s="83" t="s">
        <v>11</v>
      </c>
      <c r="D124" s="93"/>
      <c r="E124" s="94"/>
      <c r="F124" s="94"/>
      <c r="G124" s="95"/>
      <c r="H124" s="96"/>
      <c r="I124" s="97" t="str">
        <f>IF(ISNUMBER($I$8),$I$8,"")</f>
        <v/>
      </c>
      <c r="J124" s="94"/>
      <c r="K124" s="96"/>
      <c r="L124" s="97" t="str">
        <f>IF(ISNUMBER($L$8),$L$8,"")</f>
        <v/>
      </c>
      <c r="M124" s="98"/>
      <c r="N124" s="99"/>
      <c r="O124" s="46"/>
      <c r="Q124" s="139"/>
    </row>
    <row r="125" spans="1:17" s="19" customFormat="1" ht="4.5" hidden="1" customHeight="1" x14ac:dyDescent="0.25">
      <c r="A125" s="139"/>
      <c r="B125" s="107"/>
      <c r="C125" s="179">
        <v>15</v>
      </c>
      <c r="D125" s="16"/>
      <c r="E125" s="16"/>
      <c r="F125" s="16"/>
      <c r="G125" s="16"/>
      <c r="H125" s="17"/>
      <c r="I125" s="20"/>
      <c r="J125" s="16"/>
      <c r="K125" s="17"/>
      <c r="L125" s="20"/>
      <c r="M125" s="18"/>
      <c r="N125" s="51"/>
      <c r="O125" s="47"/>
      <c r="Q125" s="139"/>
    </row>
    <row r="126" spans="1:17" s="2" customFormat="1" ht="25.15" hidden="1" customHeight="1" x14ac:dyDescent="0.25">
      <c r="A126" s="139"/>
      <c r="B126" s="107"/>
      <c r="C126" s="179"/>
      <c r="D126" s="170" t="s">
        <v>395</v>
      </c>
      <c r="E126" s="170"/>
      <c r="F126" s="170"/>
      <c r="G126" s="170"/>
      <c r="H126" s="170"/>
      <c r="I126" s="164"/>
      <c r="J126" s="6"/>
      <c r="K126" s="6"/>
      <c r="L126" s="164"/>
      <c r="M126" s="6"/>
      <c r="N126" s="52"/>
      <c r="O126" s="46"/>
      <c r="Q126" s="139"/>
    </row>
    <row r="127" spans="1:17" s="2" customFormat="1" ht="25.15" hidden="1" customHeight="1" x14ac:dyDescent="0.25">
      <c r="A127" s="139"/>
      <c r="B127" s="107"/>
      <c r="C127" s="135">
        <v>16</v>
      </c>
      <c r="D127" s="178" t="s">
        <v>370</v>
      </c>
      <c r="E127" s="169"/>
      <c r="F127" s="169"/>
      <c r="G127" s="169"/>
      <c r="H127" s="180"/>
      <c r="I127" s="25"/>
      <c r="J127" s="6"/>
      <c r="K127" s="6"/>
      <c r="L127" s="26"/>
      <c r="M127" s="6"/>
      <c r="N127" s="52"/>
      <c r="O127" s="46"/>
      <c r="Q127" s="139"/>
    </row>
    <row r="128" spans="1:17" s="2" customFormat="1" ht="25.15" hidden="1" customHeight="1" x14ac:dyDescent="0.25">
      <c r="A128" s="139"/>
      <c r="B128" s="107"/>
      <c r="C128" s="135">
        <v>17</v>
      </c>
      <c r="D128" s="178" t="s">
        <v>371</v>
      </c>
      <c r="E128" s="169"/>
      <c r="F128" s="169"/>
      <c r="G128" s="169"/>
      <c r="H128" s="22" t="s">
        <v>15</v>
      </c>
      <c r="I128" s="25"/>
      <c r="J128" s="23" t="s">
        <v>16</v>
      </c>
      <c r="K128" s="22" t="s">
        <v>15</v>
      </c>
      <c r="L128" s="26"/>
      <c r="M128" s="23" t="s">
        <v>16</v>
      </c>
      <c r="N128" s="52"/>
      <c r="O128" s="46"/>
      <c r="Q128" s="139"/>
    </row>
    <row r="129" spans="1:17" s="2" customFormat="1" ht="25.15" hidden="1" customHeight="1" x14ac:dyDescent="0.25">
      <c r="A129" s="139"/>
      <c r="B129" s="107"/>
      <c r="C129" s="142">
        <v>18</v>
      </c>
      <c r="D129" s="178" t="s">
        <v>330</v>
      </c>
      <c r="E129" s="169"/>
      <c r="F129" s="169"/>
      <c r="G129" s="169"/>
      <c r="H129" s="180"/>
      <c r="I129" s="25"/>
      <c r="J129" s="6"/>
      <c r="K129" s="6"/>
      <c r="L129" s="26"/>
      <c r="M129" s="6"/>
      <c r="N129" s="52"/>
      <c r="O129" s="46"/>
      <c r="Q129" s="139"/>
    </row>
    <row r="130" spans="1:17" s="2" customFormat="1" ht="25.15" hidden="1" customHeight="1" x14ac:dyDescent="0.25">
      <c r="A130" s="139"/>
      <c r="B130" s="107"/>
      <c r="C130" s="142">
        <v>19</v>
      </c>
      <c r="D130" s="178" t="s">
        <v>331</v>
      </c>
      <c r="E130" s="169"/>
      <c r="F130" s="169"/>
      <c r="G130" s="169"/>
      <c r="H130" s="180"/>
      <c r="I130" s="25"/>
      <c r="J130" s="6"/>
      <c r="K130" s="6"/>
      <c r="L130" s="26"/>
      <c r="M130" s="6"/>
      <c r="N130" s="52"/>
      <c r="O130" s="47"/>
      <c r="Q130" s="139"/>
    </row>
    <row r="131" spans="1:17" s="2" customFormat="1" ht="25.15" hidden="1" customHeight="1" x14ac:dyDescent="0.25">
      <c r="A131" s="139"/>
      <c r="B131" s="107"/>
      <c r="C131" s="142">
        <v>20</v>
      </c>
      <c r="D131" s="178" t="s">
        <v>332</v>
      </c>
      <c r="E131" s="169"/>
      <c r="F131" s="169"/>
      <c r="G131" s="169"/>
      <c r="H131" s="180"/>
      <c r="I131" s="25"/>
      <c r="J131" s="6"/>
      <c r="K131" s="6"/>
      <c r="L131" s="26"/>
      <c r="M131" s="6"/>
      <c r="N131" s="52"/>
      <c r="O131" s="46"/>
      <c r="Q131" s="139"/>
    </row>
    <row r="132" spans="1:17" s="2" customFormat="1" ht="25.15" hidden="1" customHeight="1" x14ac:dyDescent="0.25">
      <c r="A132" s="139"/>
      <c r="B132" s="107"/>
      <c r="C132" s="142">
        <v>21</v>
      </c>
      <c r="D132" s="178" t="s">
        <v>333</v>
      </c>
      <c r="E132" s="169"/>
      <c r="F132" s="169"/>
      <c r="G132" s="169"/>
      <c r="H132" s="180"/>
      <c r="I132" s="25"/>
      <c r="J132" s="6"/>
      <c r="K132" s="6"/>
      <c r="L132" s="26"/>
      <c r="M132" s="6"/>
      <c r="N132" s="52"/>
      <c r="O132" s="46"/>
      <c r="Q132" s="139"/>
    </row>
    <row r="133" spans="1:17" s="2" customFormat="1" ht="37.9" hidden="1" customHeight="1" x14ac:dyDescent="0.25">
      <c r="A133" s="139"/>
      <c r="B133" s="107"/>
      <c r="C133" s="142">
        <v>22</v>
      </c>
      <c r="D133" s="134" t="s">
        <v>9</v>
      </c>
      <c r="E133" s="181" t="s">
        <v>334</v>
      </c>
      <c r="F133" s="181"/>
      <c r="G133" s="181"/>
      <c r="H133" s="12"/>
      <c r="I133" s="25"/>
      <c r="J133" s="6"/>
      <c r="K133" s="6"/>
      <c r="L133" s="26"/>
      <c r="M133" s="6"/>
      <c r="N133" s="52"/>
      <c r="O133" s="46"/>
      <c r="Q133" s="139"/>
    </row>
    <row r="134" spans="1:17" s="2" customFormat="1" ht="37.9" hidden="1" customHeight="1" x14ac:dyDescent="0.25">
      <c r="A134" s="139"/>
      <c r="B134" s="107"/>
      <c r="C134" s="142">
        <v>23</v>
      </c>
      <c r="D134" s="73" t="s">
        <v>12</v>
      </c>
      <c r="E134" s="136"/>
      <c r="F134" s="136"/>
      <c r="G134" s="136"/>
      <c r="H134" s="14"/>
      <c r="I134" s="28">
        <f>I127-I128+SUM(I129:I133)</f>
        <v>0</v>
      </c>
      <c r="J134" s="29"/>
      <c r="K134" s="29"/>
      <c r="L134" s="28">
        <f>L127-L128+SUM(L129:L133)</f>
        <v>0</v>
      </c>
      <c r="M134" s="6"/>
      <c r="N134" s="52"/>
      <c r="O134" s="47"/>
      <c r="Q134" s="139"/>
    </row>
    <row r="135" spans="1:17" s="2" customFormat="1" ht="29.45" hidden="1" customHeight="1" x14ac:dyDescent="0.25">
      <c r="A135" s="139"/>
      <c r="B135" s="107"/>
      <c r="C135" s="142">
        <v>24</v>
      </c>
      <c r="D135" s="102" t="s">
        <v>13</v>
      </c>
      <c r="E135" s="13"/>
      <c r="F135" s="13"/>
      <c r="G135" s="13"/>
      <c r="H135" s="14"/>
      <c r="I135" s="30" t="str">
        <f>IFERROR(I134/I126,"N/A")</f>
        <v>N/A</v>
      </c>
      <c r="J135" s="29"/>
      <c r="K135" s="29"/>
      <c r="L135" s="30" t="str">
        <f>IFERROR(L134/L126,"N/A")</f>
        <v>N/A</v>
      </c>
      <c r="M135" s="6"/>
      <c r="N135" s="52"/>
      <c r="O135" s="46"/>
      <c r="Q135" s="139"/>
    </row>
    <row r="136" spans="1:17" s="2" customFormat="1" ht="25.15" hidden="1" customHeight="1" x14ac:dyDescent="0.25">
      <c r="A136" s="139"/>
      <c r="B136" s="107"/>
      <c r="C136" s="142">
        <v>25</v>
      </c>
      <c r="D136" s="15" t="s">
        <v>340</v>
      </c>
      <c r="E136" s="12"/>
      <c r="F136" s="12"/>
      <c r="G136" s="12"/>
      <c r="H136" s="22" t="s">
        <v>15</v>
      </c>
      <c r="I136" s="27"/>
      <c r="J136" s="23" t="s">
        <v>16</v>
      </c>
      <c r="K136" s="22" t="s">
        <v>15</v>
      </c>
      <c r="L136" s="27"/>
      <c r="M136" s="23" t="s">
        <v>16</v>
      </c>
      <c r="N136" s="52"/>
      <c r="O136" s="46"/>
      <c r="Q136" s="139"/>
    </row>
    <row r="137" spans="1:17" s="2" customFormat="1" ht="29.45" hidden="1" customHeight="1" x14ac:dyDescent="0.25">
      <c r="A137" s="139"/>
      <c r="B137" s="107"/>
      <c r="C137" s="142">
        <v>26</v>
      </c>
      <c r="D137" s="103" t="s">
        <v>14</v>
      </c>
      <c r="E137" s="72"/>
      <c r="F137" s="72"/>
      <c r="G137" s="72"/>
      <c r="H137" s="21"/>
      <c r="I137" s="55" t="str">
        <f>IFERROR(I135-I136,"N/A")</f>
        <v>N/A</v>
      </c>
      <c r="J137" s="6"/>
      <c r="K137" s="6"/>
      <c r="L137" s="55" t="str">
        <f>IFERROR(L135-L136,"N/A")</f>
        <v>N/A</v>
      </c>
      <c r="M137" s="6"/>
      <c r="N137" s="52"/>
      <c r="O137" s="47"/>
      <c r="Q137" s="139"/>
    </row>
    <row r="138" spans="1:17" s="2" customFormat="1" ht="29.45" hidden="1" customHeight="1" x14ac:dyDescent="0.25">
      <c r="A138" s="139"/>
      <c r="B138" s="107"/>
      <c r="C138" s="142">
        <v>27</v>
      </c>
      <c r="D138" s="70" t="str">
        <f>"Average NET Monthly Rental Income (Loss) "&amp;IF(AND(ISNUMBER(I126),ISNUMBER(L126)),I126+L126,IF(ISNUMBER(I126),I126,IF(ISNUMBER(L126),L126,"____")))&amp;" months"</f>
        <v>Average NET Monthly Rental Income (Loss) ____ months</v>
      </c>
      <c r="E138" s="74"/>
      <c r="F138" s="74"/>
      <c r="G138" s="74"/>
      <c r="H138" s="75"/>
      <c r="I138" s="76"/>
      <c r="J138" s="168" t="str">
        <f>IF(AND(ISNUMBER(I126),ISNUMBER(L126),ISNUMBER(I137),ISNUMBER(L137)),((I126*I137)+(L126*L137))/(I126+L126),IF(AND(OR(NOT(ISNUMBER(L126)),NOT(ISNUMBER(L137))),ISNUMBER(I126),ISNUMBER(I137)),I137,IF(AND(OR(NOT(ISNUMBER(I126)),NOT(ISNUMBER(I137))),ISNUMBER(L126),ISNUMBER(L137)),L137,"N/A")))</f>
        <v>N/A</v>
      </c>
      <c r="K138" s="168"/>
      <c r="L138" s="76"/>
      <c r="M138" s="77"/>
      <c r="N138" s="78"/>
      <c r="O138" s="47"/>
      <c r="Q138" s="139"/>
    </row>
    <row r="139" spans="1:17" s="2" customFormat="1" ht="9.6" hidden="1" customHeight="1" thickBot="1" x14ac:dyDescent="0.3">
      <c r="A139" s="139"/>
      <c r="B139" s="107"/>
      <c r="C139" s="53"/>
      <c r="D139" s="7"/>
      <c r="E139" s="7"/>
      <c r="F139" s="7"/>
      <c r="G139" s="7"/>
      <c r="H139" s="7"/>
      <c r="I139" s="7"/>
      <c r="J139" s="7"/>
      <c r="K139" s="7"/>
      <c r="L139" s="7"/>
      <c r="M139" s="7"/>
      <c r="N139" s="54"/>
      <c r="O139" s="46"/>
      <c r="Q139" s="139"/>
    </row>
    <row r="140" spans="1:17" s="2" customFormat="1" ht="27" hidden="1" customHeight="1" thickBot="1" x14ac:dyDescent="0.3">
      <c r="A140" s="139"/>
      <c r="B140" s="107"/>
      <c r="C140" s="84"/>
      <c r="D140" s="82" t="s">
        <v>10</v>
      </c>
      <c r="E140" s="176"/>
      <c r="F140" s="176"/>
      <c r="G140" s="176"/>
      <c r="H140" s="176"/>
      <c r="I140" s="176"/>
      <c r="J140" s="176"/>
      <c r="K140" s="176"/>
      <c r="L140" s="177"/>
      <c r="M140" s="24" t="s">
        <v>8</v>
      </c>
      <c r="N140" s="85"/>
      <c r="O140" s="46"/>
      <c r="Q140" s="139"/>
    </row>
    <row r="141" spans="1:17" s="2" customFormat="1" ht="28.15" hidden="1" customHeight="1" x14ac:dyDescent="0.25">
      <c r="A141" s="139"/>
      <c r="B141" s="107"/>
      <c r="C141" s="83" t="s">
        <v>11</v>
      </c>
      <c r="D141" s="93"/>
      <c r="E141" s="94"/>
      <c r="F141" s="94"/>
      <c r="G141" s="95"/>
      <c r="H141" s="96"/>
      <c r="I141" s="97" t="str">
        <f>IF(ISNUMBER($I$8),$I$8,"")</f>
        <v/>
      </c>
      <c r="J141" s="94"/>
      <c r="K141" s="96"/>
      <c r="L141" s="97" t="str">
        <f>IF(ISNUMBER($L$8),$L$8,"")</f>
        <v/>
      </c>
      <c r="M141" s="98"/>
      <c r="N141" s="99"/>
      <c r="O141" s="46"/>
      <c r="Q141" s="139"/>
    </row>
    <row r="142" spans="1:17" s="19" customFormat="1" ht="4.5" hidden="1" customHeight="1" x14ac:dyDescent="0.25">
      <c r="A142" s="139"/>
      <c r="B142" s="107"/>
      <c r="C142" s="179">
        <v>15</v>
      </c>
      <c r="D142" s="16"/>
      <c r="E142" s="16"/>
      <c r="F142" s="16"/>
      <c r="G142" s="16"/>
      <c r="H142" s="17"/>
      <c r="I142" s="20"/>
      <c r="J142" s="16"/>
      <c r="K142" s="17"/>
      <c r="L142" s="20"/>
      <c r="M142" s="18"/>
      <c r="N142" s="51"/>
      <c r="O142" s="47"/>
      <c r="Q142" s="139"/>
    </row>
    <row r="143" spans="1:17" s="2" customFormat="1" ht="25.15" hidden="1" customHeight="1" x14ac:dyDescent="0.25">
      <c r="A143" s="139"/>
      <c r="B143" s="107"/>
      <c r="C143" s="179"/>
      <c r="D143" s="170" t="s">
        <v>395</v>
      </c>
      <c r="E143" s="170"/>
      <c r="F143" s="170"/>
      <c r="G143" s="170"/>
      <c r="H143" s="170"/>
      <c r="I143" s="164"/>
      <c r="J143" s="6"/>
      <c r="K143" s="6"/>
      <c r="L143" s="164"/>
      <c r="M143" s="6"/>
      <c r="N143" s="52"/>
      <c r="O143" s="46"/>
      <c r="Q143" s="139"/>
    </row>
    <row r="144" spans="1:17" s="2" customFormat="1" ht="25.15" hidden="1" customHeight="1" x14ac:dyDescent="0.25">
      <c r="A144" s="139"/>
      <c r="B144" s="107"/>
      <c r="C144" s="135">
        <v>16</v>
      </c>
      <c r="D144" s="178" t="s">
        <v>370</v>
      </c>
      <c r="E144" s="169"/>
      <c r="F144" s="169"/>
      <c r="G144" s="169"/>
      <c r="H144" s="180"/>
      <c r="I144" s="25"/>
      <c r="J144" s="6"/>
      <c r="K144" s="6"/>
      <c r="L144" s="26"/>
      <c r="M144" s="6"/>
      <c r="N144" s="52"/>
      <c r="O144" s="46"/>
      <c r="Q144" s="139"/>
    </row>
    <row r="145" spans="1:17" s="2" customFormat="1" ht="25.15" hidden="1" customHeight="1" x14ac:dyDescent="0.25">
      <c r="A145" s="139"/>
      <c r="B145" s="107"/>
      <c r="C145" s="135">
        <v>17</v>
      </c>
      <c r="D145" s="178" t="s">
        <v>371</v>
      </c>
      <c r="E145" s="169"/>
      <c r="F145" s="169"/>
      <c r="G145" s="169"/>
      <c r="H145" s="22" t="s">
        <v>15</v>
      </c>
      <c r="I145" s="25"/>
      <c r="J145" s="23" t="s">
        <v>16</v>
      </c>
      <c r="K145" s="22" t="s">
        <v>15</v>
      </c>
      <c r="L145" s="26"/>
      <c r="M145" s="23" t="s">
        <v>16</v>
      </c>
      <c r="N145" s="52"/>
      <c r="O145" s="46"/>
      <c r="Q145" s="139"/>
    </row>
    <row r="146" spans="1:17" s="2" customFormat="1" ht="25.15" hidden="1" customHeight="1" x14ac:dyDescent="0.25">
      <c r="A146" s="139"/>
      <c r="B146" s="107"/>
      <c r="C146" s="142">
        <v>18</v>
      </c>
      <c r="D146" s="178" t="s">
        <v>330</v>
      </c>
      <c r="E146" s="169"/>
      <c r="F146" s="169"/>
      <c r="G146" s="169"/>
      <c r="H146" s="180"/>
      <c r="I146" s="25"/>
      <c r="J146" s="6"/>
      <c r="K146" s="6"/>
      <c r="L146" s="26"/>
      <c r="M146" s="6"/>
      <c r="N146" s="52"/>
      <c r="O146" s="46"/>
      <c r="Q146" s="139"/>
    </row>
    <row r="147" spans="1:17" s="2" customFormat="1" ht="25.15" hidden="1" customHeight="1" x14ac:dyDescent="0.25">
      <c r="A147" s="139"/>
      <c r="B147" s="107"/>
      <c r="C147" s="142">
        <v>19</v>
      </c>
      <c r="D147" s="178" t="s">
        <v>331</v>
      </c>
      <c r="E147" s="169"/>
      <c r="F147" s="169"/>
      <c r="G147" s="169"/>
      <c r="H147" s="180"/>
      <c r="I147" s="25"/>
      <c r="J147" s="6"/>
      <c r="K147" s="6"/>
      <c r="L147" s="26"/>
      <c r="M147" s="6"/>
      <c r="N147" s="52"/>
      <c r="O147" s="47"/>
      <c r="Q147" s="139"/>
    </row>
    <row r="148" spans="1:17" s="2" customFormat="1" ht="25.15" hidden="1" customHeight="1" x14ac:dyDescent="0.25">
      <c r="A148" s="139"/>
      <c r="B148" s="107"/>
      <c r="C148" s="142">
        <v>20</v>
      </c>
      <c r="D148" s="178" t="s">
        <v>332</v>
      </c>
      <c r="E148" s="169"/>
      <c r="F148" s="169"/>
      <c r="G148" s="169"/>
      <c r="H148" s="180"/>
      <c r="I148" s="25"/>
      <c r="J148" s="6"/>
      <c r="K148" s="6"/>
      <c r="L148" s="26"/>
      <c r="M148" s="6"/>
      <c r="N148" s="52"/>
      <c r="O148" s="46"/>
      <c r="Q148" s="139"/>
    </row>
    <row r="149" spans="1:17" s="2" customFormat="1" ht="25.15" hidden="1" customHeight="1" x14ac:dyDescent="0.25">
      <c r="A149" s="139"/>
      <c r="B149" s="107"/>
      <c r="C149" s="142">
        <v>21</v>
      </c>
      <c r="D149" s="178" t="s">
        <v>333</v>
      </c>
      <c r="E149" s="169"/>
      <c r="F149" s="169"/>
      <c r="G149" s="169"/>
      <c r="H149" s="180"/>
      <c r="I149" s="25"/>
      <c r="J149" s="6"/>
      <c r="K149" s="6"/>
      <c r="L149" s="26"/>
      <c r="M149" s="6"/>
      <c r="N149" s="52"/>
      <c r="O149" s="46"/>
      <c r="Q149" s="139"/>
    </row>
    <row r="150" spans="1:17" s="2" customFormat="1" ht="37.9" hidden="1" customHeight="1" x14ac:dyDescent="0.25">
      <c r="A150" s="139"/>
      <c r="B150" s="107"/>
      <c r="C150" s="142">
        <v>22</v>
      </c>
      <c r="D150" s="134" t="s">
        <v>9</v>
      </c>
      <c r="E150" s="181" t="s">
        <v>334</v>
      </c>
      <c r="F150" s="181"/>
      <c r="G150" s="181"/>
      <c r="H150" s="12"/>
      <c r="I150" s="25"/>
      <c r="J150" s="6"/>
      <c r="K150" s="6"/>
      <c r="L150" s="26"/>
      <c r="M150" s="6"/>
      <c r="N150" s="52"/>
      <c r="O150" s="46"/>
      <c r="Q150" s="139"/>
    </row>
    <row r="151" spans="1:17" s="2" customFormat="1" ht="37.9" hidden="1" customHeight="1" x14ac:dyDescent="0.25">
      <c r="A151" s="139"/>
      <c r="B151" s="107"/>
      <c r="C151" s="142">
        <v>23</v>
      </c>
      <c r="D151" s="73" t="s">
        <v>12</v>
      </c>
      <c r="E151" s="136"/>
      <c r="F151" s="136"/>
      <c r="G151" s="136"/>
      <c r="H151" s="14"/>
      <c r="I151" s="28">
        <f>I144-I145+SUM(I146:I150)</f>
        <v>0</v>
      </c>
      <c r="J151" s="29"/>
      <c r="K151" s="29"/>
      <c r="L151" s="28">
        <f>L144-L145+SUM(L146:L150)</f>
        <v>0</v>
      </c>
      <c r="M151" s="6"/>
      <c r="N151" s="52"/>
      <c r="O151" s="47"/>
      <c r="Q151" s="139"/>
    </row>
    <row r="152" spans="1:17" s="2" customFormat="1" ht="29.45" hidden="1" customHeight="1" x14ac:dyDescent="0.25">
      <c r="A152" s="139"/>
      <c r="B152" s="107"/>
      <c r="C152" s="142">
        <v>24</v>
      </c>
      <c r="D152" s="102" t="s">
        <v>13</v>
      </c>
      <c r="E152" s="13"/>
      <c r="F152" s="13"/>
      <c r="G152" s="13"/>
      <c r="H152" s="14"/>
      <c r="I152" s="30" t="str">
        <f>IFERROR(I151/I143,"N/A")</f>
        <v>N/A</v>
      </c>
      <c r="J152" s="29"/>
      <c r="K152" s="29"/>
      <c r="L152" s="30" t="str">
        <f>IFERROR(L151/L143,"N/A")</f>
        <v>N/A</v>
      </c>
      <c r="M152" s="6"/>
      <c r="N152" s="52"/>
      <c r="O152" s="46"/>
      <c r="Q152" s="139"/>
    </row>
    <row r="153" spans="1:17" s="2" customFormat="1" ht="25.15" hidden="1" customHeight="1" x14ac:dyDescent="0.25">
      <c r="A153" s="139"/>
      <c r="B153" s="107"/>
      <c r="C153" s="142">
        <v>25</v>
      </c>
      <c r="D153" s="15" t="s">
        <v>340</v>
      </c>
      <c r="E153" s="12"/>
      <c r="F153" s="12"/>
      <c r="G153" s="12"/>
      <c r="H153" s="22" t="s">
        <v>15</v>
      </c>
      <c r="I153" s="27"/>
      <c r="J153" s="23" t="s">
        <v>16</v>
      </c>
      <c r="K153" s="22" t="s">
        <v>15</v>
      </c>
      <c r="L153" s="27"/>
      <c r="M153" s="23" t="s">
        <v>16</v>
      </c>
      <c r="N153" s="52"/>
      <c r="O153" s="46"/>
      <c r="Q153" s="139"/>
    </row>
    <row r="154" spans="1:17" s="2" customFormat="1" ht="29.45" hidden="1" customHeight="1" x14ac:dyDescent="0.25">
      <c r="A154" s="139"/>
      <c r="B154" s="107"/>
      <c r="C154" s="142">
        <v>26</v>
      </c>
      <c r="D154" s="103" t="s">
        <v>14</v>
      </c>
      <c r="E154" s="72"/>
      <c r="F154" s="72"/>
      <c r="G154" s="72"/>
      <c r="H154" s="21"/>
      <c r="I154" s="55" t="str">
        <f>IFERROR(I152-I153,"N/A")</f>
        <v>N/A</v>
      </c>
      <c r="J154" s="6"/>
      <c r="K154" s="6"/>
      <c r="L154" s="55" t="str">
        <f>IFERROR(L152-L153,"N/A")</f>
        <v>N/A</v>
      </c>
      <c r="M154" s="6"/>
      <c r="N154" s="52"/>
      <c r="O154" s="47"/>
      <c r="Q154" s="139"/>
    </row>
    <row r="155" spans="1:17" s="2" customFormat="1" ht="29.45" hidden="1" customHeight="1" x14ac:dyDescent="0.25">
      <c r="A155" s="139"/>
      <c r="B155" s="107"/>
      <c r="C155" s="142">
        <v>27</v>
      </c>
      <c r="D155" s="70" t="str">
        <f>"Average NET Monthly Rental Income (Loss) "&amp;IF(AND(ISNUMBER(I143),ISNUMBER(L143)),I143+L143,IF(ISNUMBER(I143),I143,IF(ISNUMBER(L143),L143,"____")))&amp;" months"</f>
        <v>Average NET Monthly Rental Income (Loss) ____ months</v>
      </c>
      <c r="E155" s="74"/>
      <c r="F155" s="74"/>
      <c r="G155" s="74"/>
      <c r="H155" s="75"/>
      <c r="I155" s="76"/>
      <c r="J155" s="168" t="str">
        <f>IF(AND(ISNUMBER(I143),ISNUMBER(L143),ISNUMBER(I154),ISNUMBER(L154)),((I143*I154)+(L143*L154))/(I143+L143),IF(AND(OR(NOT(ISNUMBER(L143)),NOT(ISNUMBER(L154))),ISNUMBER(I143),ISNUMBER(I154)),I154,IF(AND(OR(NOT(ISNUMBER(I143)),NOT(ISNUMBER(I154))),ISNUMBER(L143),ISNUMBER(L154)),L154,"N/A")))</f>
        <v>N/A</v>
      </c>
      <c r="K155" s="168"/>
      <c r="L155" s="76"/>
      <c r="M155" s="77"/>
      <c r="N155" s="78"/>
      <c r="O155" s="47"/>
      <c r="Q155" s="139"/>
    </row>
    <row r="156" spans="1:17" s="2" customFormat="1" ht="9.6" hidden="1" customHeight="1" thickBot="1" x14ac:dyDescent="0.3">
      <c r="A156" s="139"/>
      <c r="B156" s="107"/>
      <c r="C156" s="53"/>
      <c r="D156" s="7"/>
      <c r="E156" s="7"/>
      <c r="F156" s="7"/>
      <c r="G156" s="7"/>
      <c r="H156" s="7"/>
      <c r="I156" s="7"/>
      <c r="J156" s="7"/>
      <c r="K156" s="7"/>
      <c r="L156" s="7"/>
      <c r="M156" s="7"/>
      <c r="N156" s="54"/>
      <c r="O156" s="46"/>
      <c r="Q156" s="139"/>
    </row>
    <row r="157" spans="1:17" s="2" customFormat="1" ht="27" hidden="1" customHeight="1" thickBot="1" x14ac:dyDescent="0.3">
      <c r="A157" s="139"/>
      <c r="B157" s="107"/>
      <c r="C157" s="84"/>
      <c r="D157" s="82" t="s">
        <v>10</v>
      </c>
      <c r="E157" s="176"/>
      <c r="F157" s="176"/>
      <c r="G157" s="176"/>
      <c r="H157" s="176"/>
      <c r="I157" s="176"/>
      <c r="J157" s="176"/>
      <c r="K157" s="176"/>
      <c r="L157" s="177"/>
      <c r="M157" s="24" t="s">
        <v>8</v>
      </c>
      <c r="N157" s="85"/>
      <c r="O157" s="46"/>
      <c r="Q157" s="139"/>
    </row>
    <row r="158" spans="1:17" s="2" customFormat="1" ht="28.15" hidden="1" customHeight="1" x14ac:dyDescent="0.25">
      <c r="A158" s="139"/>
      <c r="B158" s="107"/>
      <c r="C158" s="83" t="s">
        <v>11</v>
      </c>
      <c r="D158" s="93"/>
      <c r="E158" s="94"/>
      <c r="F158" s="94"/>
      <c r="G158" s="95"/>
      <c r="H158" s="96"/>
      <c r="I158" s="97" t="str">
        <f>IF(ISNUMBER($I$8),$I$8,"")</f>
        <v/>
      </c>
      <c r="J158" s="94"/>
      <c r="K158" s="96"/>
      <c r="L158" s="97" t="str">
        <f>IF(ISNUMBER($L$8),$L$8,"")</f>
        <v/>
      </c>
      <c r="M158" s="98"/>
      <c r="N158" s="99"/>
      <c r="O158" s="46"/>
      <c r="Q158" s="139"/>
    </row>
    <row r="159" spans="1:17" s="19" customFormat="1" ht="4.5" hidden="1" customHeight="1" x14ac:dyDescent="0.25">
      <c r="A159" s="139"/>
      <c r="B159" s="107"/>
      <c r="C159" s="179">
        <v>15</v>
      </c>
      <c r="D159" s="16"/>
      <c r="E159" s="16"/>
      <c r="F159" s="16"/>
      <c r="G159" s="16"/>
      <c r="H159" s="17"/>
      <c r="I159" s="20"/>
      <c r="J159" s="16"/>
      <c r="K159" s="17"/>
      <c r="L159" s="20"/>
      <c r="M159" s="18"/>
      <c r="N159" s="51"/>
      <c r="O159" s="47"/>
      <c r="Q159" s="139"/>
    </row>
    <row r="160" spans="1:17" s="2" customFormat="1" ht="25.15" hidden="1" customHeight="1" x14ac:dyDescent="0.25">
      <c r="A160" s="139"/>
      <c r="B160" s="107"/>
      <c r="C160" s="179"/>
      <c r="D160" s="170" t="s">
        <v>395</v>
      </c>
      <c r="E160" s="170"/>
      <c r="F160" s="170"/>
      <c r="G160" s="170"/>
      <c r="H160" s="170"/>
      <c r="I160" s="164"/>
      <c r="J160" s="6"/>
      <c r="K160" s="6"/>
      <c r="L160" s="164"/>
      <c r="M160" s="6"/>
      <c r="N160" s="52"/>
      <c r="O160" s="46"/>
      <c r="Q160" s="139"/>
    </row>
    <row r="161" spans="1:17" s="2" customFormat="1" ht="25.15" hidden="1" customHeight="1" x14ac:dyDescent="0.25">
      <c r="A161" s="139"/>
      <c r="B161" s="107"/>
      <c r="C161" s="135">
        <v>16</v>
      </c>
      <c r="D161" s="178" t="s">
        <v>370</v>
      </c>
      <c r="E161" s="169"/>
      <c r="F161" s="169"/>
      <c r="G161" s="169"/>
      <c r="H161" s="180"/>
      <c r="I161" s="25"/>
      <c r="J161" s="6"/>
      <c r="K161" s="6"/>
      <c r="L161" s="26"/>
      <c r="M161" s="6"/>
      <c r="N161" s="52"/>
      <c r="O161" s="46"/>
      <c r="Q161" s="139"/>
    </row>
    <row r="162" spans="1:17" s="2" customFormat="1" ht="25.15" hidden="1" customHeight="1" x14ac:dyDescent="0.25">
      <c r="A162" s="139"/>
      <c r="B162" s="107"/>
      <c r="C162" s="135">
        <v>17</v>
      </c>
      <c r="D162" s="178" t="s">
        <v>371</v>
      </c>
      <c r="E162" s="169"/>
      <c r="F162" s="169"/>
      <c r="G162" s="169"/>
      <c r="H162" s="22" t="s">
        <v>15</v>
      </c>
      <c r="I162" s="25"/>
      <c r="J162" s="23" t="s">
        <v>16</v>
      </c>
      <c r="K162" s="22" t="s">
        <v>15</v>
      </c>
      <c r="L162" s="26"/>
      <c r="M162" s="23" t="s">
        <v>16</v>
      </c>
      <c r="N162" s="52"/>
      <c r="O162" s="46"/>
      <c r="Q162" s="139"/>
    </row>
    <row r="163" spans="1:17" s="2" customFormat="1" ht="25.15" hidden="1" customHeight="1" x14ac:dyDescent="0.25">
      <c r="A163" s="139"/>
      <c r="B163" s="107"/>
      <c r="C163" s="142">
        <v>18</v>
      </c>
      <c r="D163" s="178" t="s">
        <v>330</v>
      </c>
      <c r="E163" s="169"/>
      <c r="F163" s="169"/>
      <c r="G163" s="169"/>
      <c r="H163" s="180"/>
      <c r="I163" s="25"/>
      <c r="J163" s="6"/>
      <c r="K163" s="6"/>
      <c r="L163" s="26"/>
      <c r="M163" s="6"/>
      <c r="N163" s="52"/>
      <c r="O163" s="46"/>
      <c r="Q163" s="139"/>
    </row>
    <row r="164" spans="1:17" s="2" customFormat="1" ht="25.15" hidden="1" customHeight="1" x14ac:dyDescent="0.25">
      <c r="A164" s="139"/>
      <c r="B164" s="107"/>
      <c r="C164" s="142">
        <v>19</v>
      </c>
      <c r="D164" s="178" t="s">
        <v>331</v>
      </c>
      <c r="E164" s="169"/>
      <c r="F164" s="169"/>
      <c r="G164" s="169"/>
      <c r="H164" s="180"/>
      <c r="I164" s="25"/>
      <c r="J164" s="6"/>
      <c r="K164" s="6"/>
      <c r="L164" s="26"/>
      <c r="M164" s="6"/>
      <c r="N164" s="52"/>
      <c r="O164" s="47"/>
      <c r="Q164" s="139"/>
    </row>
    <row r="165" spans="1:17" s="2" customFormat="1" ht="25.15" hidden="1" customHeight="1" x14ac:dyDescent="0.25">
      <c r="A165" s="139"/>
      <c r="B165" s="107"/>
      <c r="C165" s="142">
        <v>20</v>
      </c>
      <c r="D165" s="178" t="s">
        <v>332</v>
      </c>
      <c r="E165" s="169"/>
      <c r="F165" s="169"/>
      <c r="G165" s="169"/>
      <c r="H165" s="180"/>
      <c r="I165" s="25"/>
      <c r="J165" s="6"/>
      <c r="K165" s="6"/>
      <c r="L165" s="26"/>
      <c r="M165" s="6"/>
      <c r="N165" s="52"/>
      <c r="O165" s="46"/>
      <c r="Q165" s="139"/>
    </row>
    <row r="166" spans="1:17" s="2" customFormat="1" ht="25.15" hidden="1" customHeight="1" x14ac:dyDescent="0.25">
      <c r="A166" s="139"/>
      <c r="B166" s="107"/>
      <c r="C166" s="142">
        <v>21</v>
      </c>
      <c r="D166" s="178" t="s">
        <v>333</v>
      </c>
      <c r="E166" s="169"/>
      <c r="F166" s="169"/>
      <c r="G166" s="169"/>
      <c r="H166" s="180"/>
      <c r="I166" s="25"/>
      <c r="J166" s="6"/>
      <c r="K166" s="6"/>
      <c r="L166" s="26"/>
      <c r="M166" s="6"/>
      <c r="N166" s="52"/>
      <c r="O166" s="46"/>
      <c r="Q166" s="139"/>
    </row>
    <row r="167" spans="1:17" s="2" customFormat="1" ht="37.9" hidden="1" customHeight="1" x14ac:dyDescent="0.25">
      <c r="A167" s="139"/>
      <c r="B167" s="107"/>
      <c r="C167" s="142">
        <v>22</v>
      </c>
      <c r="D167" s="134" t="s">
        <v>9</v>
      </c>
      <c r="E167" s="181" t="s">
        <v>334</v>
      </c>
      <c r="F167" s="181"/>
      <c r="G167" s="181"/>
      <c r="H167" s="12"/>
      <c r="I167" s="25"/>
      <c r="J167" s="6"/>
      <c r="K167" s="6"/>
      <c r="L167" s="26"/>
      <c r="M167" s="6"/>
      <c r="N167" s="52"/>
      <c r="O167" s="46"/>
      <c r="Q167" s="139"/>
    </row>
    <row r="168" spans="1:17" s="2" customFormat="1" ht="37.9" hidden="1" customHeight="1" x14ac:dyDescent="0.25">
      <c r="A168" s="139"/>
      <c r="B168" s="107"/>
      <c r="C168" s="142">
        <v>23</v>
      </c>
      <c r="D168" s="73" t="s">
        <v>12</v>
      </c>
      <c r="E168" s="136"/>
      <c r="F168" s="136"/>
      <c r="G168" s="136"/>
      <c r="H168" s="14"/>
      <c r="I168" s="28">
        <f>I161-I162+SUM(I163:I167)</f>
        <v>0</v>
      </c>
      <c r="J168" s="29"/>
      <c r="K168" s="29"/>
      <c r="L168" s="28">
        <f>L161-L162+SUM(L163:L167)</f>
        <v>0</v>
      </c>
      <c r="M168" s="6"/>
      <c r="N168" s="52"/>
      <c r="O168" s="47"/>
      <c r="Q168" s="139"/>
    </row>
    <row r="169" spans="1:17" s="2" customFormat="1" ht="29.45" hidden="1" customHeight="1" x14ac:dyDescent="0.25">
      <c r="A169" s="139"/>
      <c r="B169" s="107"/>
      <c r="C169" s="142">
        <v>24</v>
      </c>
      <c r="D169" s="102" t="s">
        <v>13</v>
      </c>
      <c r="E169" s="13"/>
      <c r="F169" s="13"/>
      <c r="G169" s="13"/>
      <c r="H169" s="14"/>
      <c r="I169" s="30" t="str">
        <f>IFERROR(I168/I160,"N/A")</f>
        <v>N/A</v>
      </c>
      <c r="J169" s="29"/>
      <c r="K169" s="29"/>
      <c r="L169" s="30" t="str">
        <f>IFERROR(L168/L160,"N/A")</f>
        <v>N/A</v>
      </c>
      <c r="M169" s="6"/>
      <c r="N169" s="52"/>
      <c r="O169" s="46"/>
      <c r="Q169" s="139"/>
    </row>
    <row r="170" spans="1:17" s="2" customFormat="1" ht="25.15" hidden="1" customHeight="1" x14ac:dyDescent="0.25">
      <c r="A170" s="139"/>
      <c r="B170" s="107"/>
      <c r="C170" s="142">
        <v>25</v>
      </c>
      <c r="D170" s="15" t="s">
        <v>340</v>
      </c>
      <c r="E170" s="12"/>
      <c r="F170" s="12"/>
      <c r="G170" s="12"/>
      <c r="H170" s="22" t="s">
        <v>15</v>
      </c>
      <c r="I170" s="27"/>
      <c r="J170" s="23" t="s">
        <v>16</v>
      </c>
      <c r="K170" s="22" t="s">
        <v>15</v>
      </c>
      <c r="L170" s="27"/>
      <c r="M170" s="23" t="s">
        <v>16</v>
      </c>
      <c r="N170" s="52"/>
      <c r="O170" s="46"/>
      <c r="Q170" s="139"/>
    </row>
    <row r="171" spans="1:17" s="2" customFormat="1" ht="29.45" hidden="1" customHeight="1" x14ac:dyDescent="0.25">
      <c r="A171" s="139"/>
      <c r="B171" s="107"/>
      <c r="C171" s="142">
        <v>26</v>
      </c>
      <c r="D171" s="103" t="s">
        <v>14</v>
      </c>
      <c r="E171" s="72"/>
      <c r="F171" s="72"/>
      <c r="G171" s="72"/>
      <c r="H171" s="21"/>
      <c r="I171" s="55" t="str">
        <f>IFERROR(I169-I170,"N/A")</f>
        <v>N/A</v>
      </c>
      <c r="J171" s="6"/>
      <c r="K171" s="6"/>
      <c r="L171" s="55" t="str">
        <f>IFERROR(L169-L170,"N/A")</f>
        <v>N/A</v>
      </c>
      <c r="M171" s="6"/>
      <c r="N171" s="52"/>
      <c r="O171" s="47"/>
      <c r="Q171" s="139"/>
    </row>
    <row r="172" spans="1:17" s="2" customFormat="1" ht="29.45" hidden="1" customHeight="1" x14ac:dyDescent="0.25">
      <c r="A172" s="139"/>
      <c r="B172" s="107"/>
      <c r="C172" s="142">
        <v>27</v>
      </c>
      <c r="D172" s="70" t="str">
        <f>"Average NET Monthly Rental Income (Loss) "&amp;IF(AND(ISNUMBER(I160),ISNUMBER(L160)),I160+L160,IF(ISNUMBER(I160),I160,IF(ISNUMBER(L160),L160,"____")))&amp;" months"</f>
        <v>Average NET Monthly Rental Income (Loss) ____ months</v>
      </c>
      <c r="E172" s="74"/>
      <c r="F172" s="74"/>
      <c r="G172" s="74"/>
      <c r="H172" s="75"/>
      <c r="I172" s="76"/>
      <c r="J172" s="168" t="str">
        <f>IF(AND(ISNUMBER(I160),ISNUMBER(L160),ISNUMBER(I171),ISNUMBER(L171)),((I160*I171)+(L160*L171))/(I160+L160),IF(AND(OR(NOT(ISNUMBER(L160)),NOT(ISNUMBER(L171))),ISNUMBER(I160),ISNUMBER(I171)),I171,IF(AND(OR(NOT(ISNUMBER(I160)),NOT(ISNUMBER(I171))),ISNUMBER(L160),ISNUMBER(L171)),L171,"N/A")))</f>
        <v>N/A</v>
      </c>
      <c r="K172" s="168"/>
      <c r="L172" s="76"/>
      <c r="M172" s="77"/>
      <c r="N172" s="78"/>
      <c r="O172" s="47"/>
      <c r="Q172" s="139"/>
    </row>
    <row r="173" spans="1:17" s="2" customFormat="1" ht="9.6" hidden="1" customHeight="1" thickBot="1" x14ac:dyDescent="0.3">
      <c r="A173" s="139"/>
      <c r="B173" s="107"/>
      <c r="C173" s="53"/>
      <c r="D173" s="7"/>
      <c r="E173" s="7"/>
      <c r="F173" s="7"/>
      <c r="G173" s="7"/>
      <c r="H173" s="7"/>
      <c r="I173" s="7"/>
      <c r="J173" s="7"/>
      <c r="K173" s="7"/>
      <c r="L173" s="7"/>
      <c r="M173" s="7"/>
      <c r="N173" s="54"/>
      <c r="O173" s="46"/>
      <c r="Q173" s="139"/>
    </row>
    <row r="174" spans="1:17" s="2" customFormat="1" ht="27" hidden="1" customHeight="1" thickBot="1" x14ac:dyDescent="0.3">
      <c r="A174" s="139"/>
      <c r="B174" s="107"/>
      <c r="C174" s="84"/>
      <c r="D174" s="82" t="s">
        <v>10</v>
      </c>
      <c r="E174" s="176"/>
      <c r="F174" s="176"/>
      <c r="G174" s="176"/>
      <c r="H174" s="176"/>
      <c r="I174" s="176"/>
      <c r="J174" s="176"/>
      <c r="K174" s="176"/>
      <c r="L174" s="177"/>
      <c r="M174" s="24" t="s">
        <v>8</v>
      </c>
      <c r="N174" s="85"/>
      <c r="O174" s="46"/>
      <c r="Q174" s="139"/>
    </row>
    <row r="175" spans="1:17" s="2" customFormat="1" ht="28.15" hidden="1" customHeight="1" x14ac:dyDescent="0.25">
      <c r="A175" s="139"/>
      <c r="B175" s="107"/>
      <c r="C175" s="83" t="s">
        <v>11</v>
      </c>
      <c r="D175" s="93"/>
      <c r="E175" s="94"/>
      <c r="F175" s="94"/>
      <c r="G175" s="95"/>
      <c r="H175" s="96"/>
      <c r="I175" s="97" t="str">
        <f>IF(ISNUMBER($I$8),$I$8,"")</f>
        <v/>
      </c>
      <c r="J175" s="94"/>
      <c r="K175" s="96"/>
      <c r="L175" s="97" t="str">
        <f>IF(ISNUMBER($L$8),$L$8,"")</f>
        <v/>
      </c>
      <c r="M175" s="98"/>
      <c r="N175" s="99"/>
      <c r="O175" s="46"/>
      <c r="Q175" s="139"/>
    </row>
    <row r="176" spans="1:17" s="19" customFormat="1" ht="4.5" hidden="1" customHeight="1" x14ac:dyDescent="0.25">
      <c r="A176" s="139"/>
      <c r="B176" s="107"/>
      <c r="C176" s="179">
        <v>15</v>
      </c>
      <c r="D176" s="16"/>
      <c r="E176" s="16"/>
      <c r="F176" s="16"/>
      <c r="G176" s="16"/>
      <c r="H176" s="17"/>
      <c r="I176" s="20"/>
      <c r="J176" s="16"/>
      <c r="K176" s="17"/>
      <c r="L176" s="20"/>
      <c r="M176" s="18"/>
      <c r="N176" s="51"/>
      <c r="O176" s="47"/>
      <c r="Q176" s="139"/>
    </row>
    <row r="177" spans="1:17" s="2" customFormat="1" ht="25.15" hidden="1" customHeight="1" x14ac:dyDescent="0.25">
      <c r="A177" s="139"/>
      <c r="B177" s="107"/>
      <c r="C177" s="179"/>
      <c r="D177" s="170" t="s">
        <v>395</v>
      </c>
      <c r="E177" s="170"/>
      <c r="F177" s="170"/>
      <c r="G177" s="170"/>
      <c r="H177" s="170"/>
      <c r="I177" s="164"/>
      <c r="J177" s="6"/>
      <c r="K177" s="6"/>
      <c r="L177" s="164"/>
      <c r="M177" s="6"/>
      <c r="N177" s="52"/>
      <c r="O177" s="46"/>
      <c r="Q177" s="139"/>
    </row>
    <row r="178" spans="1:17" s="2" customFormat="1" ht="25.15" hidden="1" customHeight="1" x14ac:dyDescent="0.25">
      <c r="A178" s="139"/>
      <c r="B178" s="107"/>
      <c r="C178" s="135">
        <v>16</v>
      </c>
      <c r="D178" s="178" t="s">
        <v>370</v>
      </c>
      <c r="E178" s="169"/>
      <c r="F178" s="169"/>
      <c r="G178" s="169"/>
      <c r="H178" s="180"/>
      <c r="I178" s="25"/>
      <c r="J178" s="6"/>
      <c r="K178" s="6"/>
      <c r="L178" s="26"/>
      <c r="M178" s="6"/>
      <c r="N178" s="52"/>
      <c r="O178" s="46"/>
      <c r="Q178" s="139"/>
    </row>
    <row r="179" spans="1:17" s="2" customFormat="1" ht="25.15" hidden="1" customHeight="1" x14ac:dyDescent="0.25">
      <c r="A179" s="139"/>
      <c r="B179" s="107"/>
      <c r="C179" s="135">
        <v>17</v>
      </c>
      <c r="D179" s="178" t="s">
        <v>371</v>
      </c>
      <c r="E179" s="169"/>
      <c r="F179" s="169"/>
      <c r="G179" s="169"/>
      <c r="H179" s="22" t="s">
        <v>15</v>
      </c>
      <c r="I179" s="25"/>
      <c r="J179" s="23" t="s">
        <v>16</v>
      </c>
      <c r="K179" s="22" t="s">
        <v>15</v>
      </c>
      <c r="L179" s="26"/>
      <c r="M179" s="23" t="s">
        <v>16</v>
      </c>
      <c r="N179" s="52"/>
      <c r="O179" s="46"/>
      <c r="Q179" s="139"/>
    </row>
    <row r="180" spans="1:17" s="2" customFormat="1" ht="25.15" hidden="1" customHeight="1" x14ac:dyDescent="0.25">
      <c r="A180" s="139"/>
      <c r="B180" s="107"/>
      <c r="C180" s="142">
        <v>18</v>
      </c>
      <c r="D180" s="178" t="s">
        <v>330</v>
      </c>
      <c r="E180" s="169"/>
      <c r="F180" s="169"/>
      <c r="G180" s="169"/>
      <c r="H180" s="180"/>
      <c r="I180" s="25"/>
      <c r="J180" s="6"/>
      <c r="K180" s="6"/>
      <c r="L180" s="26"/>
      <c r="M180" s="6"/>
      <c r="N180" s="52"/>
      <c r="O180" s="46"/>
      <c r="Q180" s="139"/>
    </row>
    <row r="181" spans="1:17" s="2" customFormat="1" ht="25.15" hidden="1" customHeight="1" x14ac:dyDescent="0.25">
      <c r="A181" s="139"/>
      <c r="B181" s="107"/>
      <c r="C181" s="142">
        <v>19</v>
      </c>
      <c r="D181" s="178" t="s">
        <v>331</v>
      </c>
      <c r="E181" s="169"/>
      <c r="F181" s="169"/>
      <c r="G181" s="169"/>
      <c r="H181" s="180"/>
      <c r="I181" s="25"/>
      <c r="J181" s="6"/>
      <c r="K181" s="6"/>
      <c r="L181" s="26"/>
      <c r="M181" s="6"/>
      <c r="N181" s="52"/>
      <c r="O181" s="47"/>
      <c r="Q181" s="139"/>
    </row>
    <row r="182" spans="1:17" s="2" customFormat="1" ht="25.15" hidden="1" customHeight="1" x14ac:dyDescent="0.25">
      <c r="A182" s="139"/>
      <c r="B182" s="107"/>
      <c r="C182" s="142">
        <v>20</v>
      </c>
      <c r="D182" s="178" t="s">
        <v>332</v>
      </c>
      <c r="E182" s="169"/>
      <c r="F182" s="169"/>
      <c r="G182" s="169"/>
      <c r="H182" s="180"/>
      <c r="I182" s="25"/>
      <c r="J182" s="6"/>
      <c r="K182" s="6"/>
      <c r="L182" s="26"/>
      <c r="M182" s="6"/>
      <c r="N182" s="52"/>
      <c r="O182" s="46"/>
      <c r="Q182" s="139"/>
    </row>
    <row r="183" spans="1:17" s="2" customFormat="1" ht="25.15" hidden="1" customHeight="1" x14ac:dyDescent="0.25">
      <c r="A183" s="139"/>
      <c r="B183" s="107"/>
      <c r="C183" s="142">
        <v>21</v>
      </c>
      <c r="D183" s="178" t="s">
        <v>333</v>
      </c>
      <c r="E183" s="169"/>
      <c r="F183" s="169"/>
      <c r="G183" s="169"/>
      <c r="H183" s="180"/>
      <c r="I183" s="25"/>
      <c r="J183" s="6"/>
      <c r="K183" s="6"/>
      <c r="L183" s="26"/>
      <c r="M183" s="6"/>
      <c r="N183" s="52"/>
      <c r="O183" s="46"/>
      <c r="Q183" s="139"/>
    </row>
    <row r="184" spans="1:17" s="2" customFormat="1" ht="37.9" hidden="1" customHeight="1" x14ac:dyDescent="0.25">
      <c r="A184" s="139"/>
      <c r="B184" s="107"/>
      <c r="C184" s="142">
        <v>22</v>
      </c>
      <c r="D184" s="134" t="s">
        <v>9</v>
      </c>
      <c r="E184" s="181" t="s">
        <v>334</v>
      </c>
      <c r="F184" s="181"/>
      <c r="G184" s="181"/>
      <c r="H184" s="12"/>
      <c r="I184" s="25"/>
      <c r="J184" s="6"/>
      <c r="K184" s="6"/>
      <c r="L184" s="26"/>
      <c r="M184" s="6"/>
      <c r="N184" s="52"/>
      <c r="O184" s="46"/>
      <c r="Q184" s="139"/>
    </row>
    <row r="185" spans="1:17" s="2" customFormat="1" ht="37.9" hidden="1" customHeight="1" x14ac:dyDescent="0.25">
      <c r="A185" s="139"/>
      <c r="B185" s="107"/>
      <c r="C185" s="142">
        <v>23</v>
      </c>
      <c r="D185" s="73" t="s">
        <v>12</v>
      </c>
      <c r="E185" s="136"/>
      <c r="F185" s="136"/>
      <c r="G185" s="136"/>
      <c r="H185" s="14"/>
      <c r="I185" s="28">
        <f>I178-I179+SUM(I180:I184)</f>
        <v>0</v>
      </c>
      <c r="J185" s="29"/>
      <c r="K185" s="29"/>
      <c r="L185" s="28">
        <f>L178-L179+SUM(L180:L184)</f>
        <v>0</v>
      </c>
      <c r="M185" s="6"/>
      <c r="N185" s="52"/>
      <c r="O185" s="47"/>
      <c r="Q185" s="139"/>
    </row>
    <row r="186" spans="1:17" s="2" customFormat="1" ht="29.45" hidden="1" customHeight="1" x14ac:dyDescent="0.25">
      <c r="A186" s="139"/>
      <c r="B186" s="107"/>
      <c r="C186" s="142">
        <v>24</v>
      </c>
      <c r="D186" s="102" t="s">
        <v>13</v>
      </c>
      <c r="E186" s="13"/>
      <c r="F186" s="13"/>
      <c r="G186" s="13"/>
      <c r="H186" s="14"/>
      <c r="I186" s="30" t="str">
        <f>IFERROR(I185/I177,"N/A")</f>
        <v>N/A</v>
      </c>
      <c r="J186" s="29"/>
      <c r="K186" s="29"/>
      <c r="L186" s="30" t="str">
        <f>IFERROR(L185/L177,"N/A")</f>
        <v>N/A</v>
      </c>
      <c r="M186" s="6"/>
      <c r="N186" s="52"/>
      <c r="O186" s="46"/>
      <c r="Q186" s="139"/>
    </row>
    <row r="187" spans="1:17" s="2" customFormat="1" ht="25.15" hidden="1" customHeight="1" x14ac:dyDescent="0.25">
      <c r="A187" s="139"/>
      <c r="B187" s="107"/>
      <c r="C187" s="142">
        <v>25</v>
      </c>
      <c r="D187" s="15" t="s">
        <v>340</v>
      </c>
      <c r="E187" s="12"/>
      <c r="F187" s="12"/>
      <c r="G187" s="12"/>
      <c r="H187" s="22" t="s">
        <v>15</v>
      </c>
      <c r="I187" s="27"/>
      <c r="J187" s="23" t="s">
        <v>16</v>
      </c>
      <c r="K187" s="22" t="s">
        <v>15</v>
      </c>
      <c r="L187" s="27"/>
      <c r="M187" s="23" t="s">
        <v>16</v>
      </c>
      <c r="N187" s="52"/>
      <c r="O187" s="46"/>
      <c r="Q187" s="139"/>
    </row>
    <row r="188" spans="1:17" s="2" customFormat="1" ht="29.45" hidden="1" customHeight="1" x14ac:dyDescent="0.25">
      <c r="A188" s="139"/>
      <c r="B188" s="107"/>
      <c r="C188" s="142">
        <v>26</v>
      </c>
      <c r="D188" s="103" t="s">
        <v>14</v>
      </c>
      <c r="E188" s="72"/>
      <c r="F188" s="72"/>
      <c r="G188" s="72"/>
      <c r="H188" s="21"/>
      <c r="I188" s="55" t="str">
        <f>IFERROR(I186-I187,"N/A")</f>
        <v>N/A</v>
      </c>
      <c r="J188" s="6"/>
      <c r="K188" s="6"/>
      <c r="L188" s="55" t="str">
        <f>IFERROR(L186-L187,"N/A")</f>
        <v>N/A</v>
      </c>
      <c r="M188" s="6"/>
      <c r="N188" s="52"/>
      <c r="O188" s="47"/>
      <c r="Q188" s="139"/>
    </row>
    <row r="189" spans="1:17" s="2" customFormat="1" ht="29.45" hidden="1" customHeight="1" x14ac:dyDescent="0.25">
      <c r="A189" s="139"/>
      <c r="B189" s="107"/>
      <c r="C189" s="142">
        <v>27</v>
      </c>
      <c r="D189" s="70" t="str">
        <f>"Average NET Monthly Rental Income (Loss) "&amp;IF(AND(ISNUMBER(I177),ISNUMBER(L177)),I177+L177,IF(ISNUMBER(I177),I177,IF(ISNUMBER(L177),L177,"____")))&amp;" months"</f>
        <v>Average NET Monthly Rental Income (Loss) ____ months</v>
      </c>
      <c r="E189" s="74"/>
      <c r="F189" s="74"/>
      <c r="G189" s="74"/>
      <c r="H189" s="75"/>
      <c r="I189" s="76"/>
      <c r="J189" s="168" t="str">
        <f>IF(AND(ISNUMBER(I177),ISNUMBER(L177),ISNUMBER(I188),ISNUMBER(L188)),((I177*I188)+(L177*L188))/(I177+L177),IF(AND(OR(NOT(ISNUMBER(L177)),NOT(ISNUMBER(L188))),ISNUMBER(I177),ISNUMBER(I188)),I188,IF(AND(OR(NOT(ISNUMBER(I177)),NOT(ISNUMBER(I188))),ISNUMBER(L177),ISNUMBER(L188)),L188,"N/A")))</f>
        <v>N/A</v>
      </c>
      <c r="K189" s="168"/>
      <c r="L189" s="76"/>
      <c r="M189" s="77"/>
      <c r="N189" s="78"/>
      <c r="O189" s="47"/>
      <c r="Q189" s="139"/>
    </row>
    <row r="190" spans="1:17" s="2" customFormat="1" ht="9.6" hidden="1" customHeight="1" thickBot="1" x14ac:dyDescent="0.3">
      <c r="A190" s="139"/>
      <c r="B190" s="107"/>
      <c r="C190" s="53"/>
      <c r="D190" s="7"/>
      <c r="E190" s="7"/>
      <c r="F190" s="7"/>
      <c r="G190" s="7"/>
      <c r="H190" s="7"/>
      <c r="I190" s="7"/>
      <c r="J190" s="7"/>
      <c r="K190" s="7"/>
      <c r="L190" s="7"/>
      <c r="M190" s="7"/>
      <c r="N190" s="54"/>
      <c r="O190" s="46"/>
      <c r="Q190" s="139"/>
    </row>
    <row r="191" spans="1:17" s="2" customFormat="1" ht="27" hidden="1" customHeight="1" thickBot="1" x14ac:dyDescent="0.3">
      <c r="A191" s="139"/>
      <c r="B191" s="107"/>
      <c r="C191" s="84"/>
      <c r="D191" s="82" t="s">
        <v>10</v>
      </c>
      <c r="E191" s="176"/>
      <c r="F191" s="176"/>
      <c r="G191" s="176"/>
      <c r="H191" s="176"/>
      <c r="I191" s="176"/>
      <c r="J191" s="176"/>
      <c r="K191" s="176"/>
      <c r="L191" s="177"/>
      <c r="M191" s="24" t="s">
        <v>8</v>
      </c>
      <c r="N191" s="85"/>
      <c r="O191" s="46"/>
      <c r="Q191" s="139"/>
    </row>
    <row r="192" spans="1:17" s="2" customFormat="1" ht="28.15" hidden="1" customHeight="1" x14ac:dyDescent="0.25">
      <c r="A192" s="139"/>
      <c r="B192" s="107"/>
      <c r="C192" s="83" t="s">
        <v>11</v>
      </c>
      <c r="D192" s="93"/>
      <c r="E192" s="94"/>
      <c r="F192" s="94"/>
      <c r="G192" s="95"/>
      <c r="H192" s="96"/>
      <c r="I192" s="97" t="str">
        <f>IF(ISNUMBER($I$8),$I$8,"")</f>
        <v/>
      </c>
      <c r="J192" s="94"/>
      <c r="K192" s="96"/>
      <c r="L192" s="97" t="str">
        <f>IF(ISNUMBER($L$8),$L$8,"")</f>
        <v/>
      </c>
      <c r="M192" s="98"/>
      <c r="N192" s="99"/>
      <c r="O192" s="46"/>
      <c r="Q192" s="139"/>
    </row>
    <row r="193" spans="1:17" s="19" customFormat="1" ht="4.5" hidden="1" customHeight="1" x14ac:dyDescent="0.25">
      <c r="A193" s="139"/>
      <c r="B193" s="107"/>
      <c r="C193" s="179">
        <v>15</v>
      </c>
      <c r="D193" s="16"/>
      <c r="E193" s="16"/>
      <c r="F193" s="16"/>
      <c r="G193" s="16"/>
      <c r="H193" s="17"/>
      <c r="I193" s="20"/>
      <c r="J193" s="16"/>
      <c r="K193" s="17"/>
      <c r="L193" s="20"/>
      <c r="M193" s="18"/>
      <c r="N193" s="51"/>
      <c r="O193" s="47"/>
      <c r="Q193" s="139"/>
    </row>
    <row r="194" spans="1:17" s="2" customFormat="1" ht="25.15" hidden="1" customHeight="1" x14ac:dyDescent="0.25">
      <c r="A194" s="139"/>
      <c r="B194" s="107"/>
      <c r="C194" s="179"/>
      <c r="D194" s="170" t="s">
        <v>395</v>
      </c>
      <c r="E194" s="170"/>
      <c r="F194" s="170"/>
      <c r="G194" s="170"/>
      <c r="H194" s="170"/>
      <c r="I194" s="164"/>
      <c r="J194" s="6"/>
      <c r="K194" s="6"/>
      <c r="L194" s="164"/>
      <c r="M194" s="6"/>
      <c r="N194" s="52"/>
      <c r="O194" s="46"/>
      <c r="Q194" s="139"/>
    </row>
    <row r="195" spans="1:17" s="2" customFormat="1" ht="25.15" hidden="1" customHeight="1" x14ac:dyDescent="0.25">
      <c r="A195" s="139"/>
      <c r="B195" s="107"/>
      <c r="C195" s="135">
        <v>16</v>
      </c>
      <c r="D195" s="178" t="s">
        <v>370</v>
      </c>
      <c r="E195" s="169"/>
      <c r="F195" s="169"/>
      <c r="G195" s="169"/>
      <c r="H195" s="180"/>
      <c r="I195" s="25"/>
      <c r="J195" s="6"/>
      <c r="K195" s="6"/>
      <c r="L195" s="26"/>
      <c r="M195" s="6"/>
      <c r="N195" s="52"/>
      <c r="O195" s="46"/>
      <c r="Q195" s="139"/>
    </row>
    <row r="196" spans="1:17" s="2" customFormat="1" ht="25.15" hidden="1" customHeight="1" x14ac:dyDescent="0.25">
      <c r="A196" s="139"/>
      <c r="B196" s="107"/>
      <c r="C196" s="135">
        <v>17</v>
      </c>
      <c r="D196" s="178" t="s">
        <v>371</v>
      </c>
      <c r="E196" s="169"/>
      <c r="F196" s="169"/>
      <c r="G196" s="169"/>
      <c r="H196" s="22" t="s">
        <v>15</v>
      </c>
      <c r="I196" s="25"/>
      <c r="J196" s="23" t="s">
        <v>16</v>
      </c>
      <c r="K196" s="22" t="s">
        <v>15</v>
      </c>
      <c r="L196" s="26"/>
      <c r="M196" s="23" t="s">
        <v>16</v>
      </c>
      <c r="N196" s="52"/>
      <c r="O196" s="46"/>
      <c r="Q196" s="139"/>
    </row>
    <row r="197" spans="1:17" s="2" customFormat="1" ht="25.15" hidden="1" customHeight="1" x14ac:dyDescent="0.25">
      <c r="A197" s="139"/>
      <c r="B197" s="107"/>
      <c r="C197" s="142">
        <v>18</v>
      </c>
      <c r="D197" s="178" t="s">
        <v>330</v>
      </c>
      <c r="E197" s="169"/>
      <c r="F197" s="169"/>
      <c r="G197" s="169"/>
      <c r="H197" s="180"/>
      <c r="I197" s="25"/>
      <c r="J197" s="6"/>
      <c r="K197" s="6"/>
      <c r="L197" s="26"/>
      <c r="M197" s="6"/>
      <c r="N197" s="52"/>
      <c r="O197" s="46"/>
      <c r="Q197" s="139"/>
    </row>
    <row r="198" spans="1:17" s="2" customFormat="1" ht="25.15" hidden="1" customHeight="1" x14ac:dyDescent="0.25">
      <c r="A198" s="139"/>
      <c r="B198" s="107"/>
      <c r="C198" s="142">
        <v>19</v>
      </c>
      <c r="D198" s="178" t="s">
        <v>331</v>
      </c>
      <c r="E198" s="169"/>
      <c r="F198" s="169"/>
      <c r="G198" s="169"/>
      <c r="H198" s="180"/>
      <c r="I198" s="25"/>
      <c r="J198" s="6"/>
      <c r="K198" s="6"/>
      <c r="L198" s="26"/>
      <c r="M198" s="6"/>
      <c r="N198" s="52"/>
      <c r="O198" s="47"/>
      <c r="Q198" s="139"/>
    </row>
    <row r="199" spans="1:17" s="2" customFormat="1" ht="25.15" hidden="1" customHeight="1" x14ac:dyDescent="0.25">
      <c r="A199" s="139"/>
      <c r="B199" s="107"/>
      <c r="C199" s="142">
        <v>20</v>
      </c>
      <c r="D199" s="178" t="s">
        <v>332</v>
      </c>
      <c r="E199" s="169"/>
      <c r="F199" s="169"/>
      <c r="G199" s="169"/>
      <c r="H199" s="180"/>
      <c r="I199" s="25"/>
      <c r="J199" s="6"/>
      <c r="K199" s="6"/>
      <c r="L199" s="26"/>
      <c r="M199" s="6"/>
      <c r="N199" s="52"/>
      <c r="O199" s="46"/>
      <c r="Q199" s="139"/>
    </row>
    <row r="200" spans="1:17" s="2" customFormat="1" ht="25.15" hidden="1" customHeight="1" x14ac:dyDescent="0.25">
      <c r="A200" s="139"/>
      <c r="B200" s="107"/>
      <c r="C200" s="142">
        <v>21</v>
      </c>
      <c r="D200" s="178" t="s">
        <v>333</v>
      </c>
      <c r="E200" s="169"/>
      <c r="F200" s="169"/>
      <c r="G200" s="169"/>
      <c r="H200" s="180"/>
      <c r="I200" s="25"/>
      <c r="J200" s="6"/>
      <c r="K200" s="6"/>
      <c r="L200" s="26"/>
      <c r="M200" s="6"/>
      <c r="N200" s="52"/>
      <c r="O200" s="46"/>
      <c r="Q200" s="139"/>
    </row>
    <row r="201" spans="1:17" s="2" customFormat="1" ht="37.9" hidden="1" customHeight="1" x14ac:dyDescent="0.25">
      <c r="A201" s="139"/>
      <c r="B201" s="107"/>
      <c r="C201" s="142">
        <v>22</v>
      </c>
      <c r="D201" s="134" t="s">
        <v>9</v>
      </c>
      <c r="E201" s="181" t="s">
        <v>334</v>
      </c>
      <c r="F201" s="181"/>
      <c r="G201" s="181"/>
      <c r="H201" s="12"/>
      <c r="I201" s="25"/>
      <c r="J201" s="6"/>
      <c r="K201" s="6"/>
      <c r="L201" s="26"/>
      <c r="M201" s="6"/>
      <c r="N201" s="52"/>
      <c r="O201" s="46"/>
      <c r="Q201" s="139"/>
    </row>
    <row r="202" spans="1:17" s="2" customFormat="1" ht="37.9" hidden="1" customHeight="1" x14ac:dyDescent="0.25">
      <c r="A202" s="139"/>
      <c r="B202" s="107"/>
      <c r="C202" s="142">
        <v>23</v>
      </c>
      <c r="D202" s="73" t="s">
        <v>12</v>
      </c>
      <c r="E202" s="136"/>
      <c r="F202" s="136"/>
      <c r="G202" s="136"/>
      <c r="H202" s="14"/>
      <c r="I202" s="28">
        <f>I195-I196+SUM(I197:I201)</f>
        <v>0</v>
      </c>
      <c r="J202" s="29"/>
      <c r="K202" s="29"/>
      <c r="L202" s="28">
        <f>L195-L196+SUM(L197:L201)</f>
        <v>0</v>
      </c>
      <c r="M202" s="6"/>
      <c r="N202" s="52"/>
      <c r="O202" s="47"/>
      <c r="Q202" s="139"/>
    </row>
    <row r="203" spans="1:17" s="2" customFormat="1" ht="29.45" hidden="1" customHeight="1" x14ac:dyDescent="0.25">
      <c r="A203" s="139"/>
      <c r="B203" s="107"/>
      <c r="C203" s="142">
        <v>24</v>
      </c>
      <c r="D203" s="102" t="s">
        <v>13</v>
      </c>
      <c r="E203" s="13"/>
      <c r="F203" s="13"/>
      <c r="G203" s="13"/>
      <c r="H203" s="14"/>
      <c r="I203" s="30" t="str">
        <f>IFERROR(I202/I194,"N/A")</f>
        <v>N/A</v>
      </c>
      <c r="J203" s="29"/>
      <c r="K203" s="29"/>
      <c r="L203" s="30" t="str">
        <f>IFERROR(L202/L194,"N/A")</f>
        <v>N/A</v>
      </c>
      <c r="M203" s="6"/>
      <c r="N203" s="52"/>
      <c r="O203" s="46"/>
      <c r="Q203" s="139"/>
    </row>
    <row r="204" spans="1:17" s="2" customFormat="1" ht="25.15" hidden="1" customHeight="1" x14ac:dyDescent="0.25">
      <c r="A204" s="139"/>
      <c r="B204" s="107"/>
      <c r="C204" s="142">
        <v>25</v>
      </c>
      <c r="D204" s="15" t="s">
        <v>340</v>
      </c>
      <c r="E204" s="12"/>
      <c r="F204" s="12"/>
      <c r="G204" s="12"/>
      <c r="H204" s="22" t="s">
        <v>15</v>
      </c>
      <c r="I204" s="27"/>
      <c r="J204" s="23" t="s">
        <v>16</v>
      </c>
      <c r="K204" s="22" t="s">
        <v>15</v>
      </c>
      <c r="L204" s="27"/>
      <c r="M204" s="23" t="s">
        <v>16</v>
      </c>
      <c r="N204" s="52"/>
      <c r="O204" s="46"/>
      <c r="Q204" s="139"/>
    </row>
    <row r="205" spans="1:17" s="2" customFormat="1" ht="29.45" hidden="1" customHeight="1" x14ac:dyDescent="0.25">
      <c r="A205" s="139"/>
      <c r="B205" s="107"/>
      <c r="C205" s="142">
        <v>26</v>
      </c>
      <c r="D205" s="103" t="s">
        <v>14</v>
      </c>
      <c r="E205" s="72"/>
      <c r="F205" s="72"/>
      <c r="G205" s="72"/>
      <c r="H205" s="21"/>
      <c r="I205" s="55" t="str">
        <f>IFERROR(I203-I204,"N/A")</f>
        <v>N/A</v>
      </c>
      <c r="J205" s="6"/>
      <c r="K205" s="6"/>
      <c r="L205" s="55" t="str">
        <f>IFERROR(L203-L204,"N/A")</f>
        <v>N/A</v>
      </c>
      <c r="M205" s="6"/>
      <c r="N205" s="52"/>
      <c r="O205" s="47"/>
      <c r="Q205" s="139"/>
    </row>
    <row r="206" spans="1:17" s="2" customFormat="1" ht="29.45" hidden="1" customHeight="1" x14ac:dyDescent="0.25">
      <c r="A206" s="139"/>
      <c r="B206" s="107"/>
      <c r="C206" s="142">
        <v>27</v>
      </c>
      <c r="D206" s="70" t="str">
        <f>"Average NET Monthly Rental Income (Loss) "&amp;IF(AND(ISNUMBER(I194),ISNUMBER(L194)),I194+L194,IF(ISNUMBER(I194),I194,IF(ISNUMBER(L194),L194,"____")))&amp;" months"</f>
        <v>Average NET Monthly Rental Income (Loss) ____ months</v>
      </c>
      <c r="E206" s="74"/>
      <c r="F206" s="74"/>
      <c r="G206" s="74"/>
      <c r="H206" s="75"/>
      <c r="I206" s="76"/>
      <c r="J206" s="168" t="str">
        <f>IF(AND(ISNUMBER(I194),ISNUMBER(L194),ISNUMBER(I205),ISNUMBER(L205)),((I194*I205)+(L194*L205))/(I194+L194),IF(AND(OR(NOT(ISNUMBER(L194)),NOT(ISNUMBER(L205))),ISNUMBER(I194),ISNUMBER(I205)),I205,IF(AND(OR(NOT(ISNUMBER(I194)),NOT(ISNUMBER(I205))),ISNUMBER(L194),ISNUMBER(L205)),L205,"N/A")))</f>
        <v>N/A</v>
      </c>
      <c r="K206" s="168"/>
      <c r="L206" s="76"/>
      <c r="M206" s="77"/>
      <c r="N206" s="78"/>
      <c r="O206" s="47"/>
      <c r="Q206" s="139"/>
    </row>
    <row r="207" spans="1:17" s="2" customFormat="1" ht="9.6" hidden="1" customHeight="1" thickBot="1" x14ac:dyDescent="0.3">
      <c r="A207" s="139"/>
      <c r="B207" s="107"/>
      <c r="C207" s="53"/>
      <c r="D207" s="7"/>
      <c r="E207" s="7"/>
      <c r="F207" s="7"/>
      <c r="G207" s="7"/>
      <c r="H207" s="7"/>
      <c r="I207" s="7"/>
      <c r="J207" s="7"/>
      <c r="K207" s="7"/>
      <c r="L207" s="7"/>
      <c r="M207" s="7"/>
      <c r="N207" s="54"/>
      <c r="O207" s="46"/>
      <c r="Q207" s="139"/>
    </row>
    <row r="208" spans="1:17" s="2" customFormat="1" ht="27" hidden="1" customHeight="1" thickBot="1" x14ac:dyDescent="0.3">
      <c r="A208" s="139"/>
      <c r="B208" s="107"/>
      <c r="C208" s="84"/>
      <c r="D208" s="82" t="s">
        <v>10</v>
      </c>
      <c r="E208" s="176"/>
      <c r="F208" s="176"/>
      <c r="G208" s="176"/>
      <c r="H208" s="176"/>
      <c r="I208" s="176"/>
      <c r="J208" s="176"/>
      <c r="K208" s="176"/>
      <c r="L208" s="177"/>
      <c r="M208" s="24" t="s">
        <v>8</v>
      </c>
      <c r="N208" s="85"/>
      <c r="O208" s="46"/>
      <c r="Q208" s="139"/>
    </row>
    <row r="209" spans="1:17" s="2" customFormat="1" ht="28.15" hidden="1" customHeight="1" x14ac:dyDescent="0.25">
      <c r="A209" s="139"/>
      <c r="B209" s="107"/>
      <c r="C209" s="83" t="s">
        <v>11</v>
      </c>
      <c r="D209" s="93"/>
      <c r="E209" s="94"/>
      <c r="F209" s="94"/>
      <c r="G209" s="95"/>
      <c r="H209" s="96"/>
      <c r="I209" s="97" t="str">
        <f>IF(ISNUMBER($I$8),$I$8,"")</f>
        <v/>
      </c>
      <c r="J209" s="94"/>
      <c r="K209" s="96"/>
      <c r="L209" s="97" t="str">
        <f>IF(ISNUMBER($L$8),$L$8,"")</f>
        <v/>
      </c>
      <c r="M209" s="98"/>
      <c r="N209" s="99"/>
      <c r="O209" s="46"/>
      <c r="Q209" s="139"/>
    </row>
    <row r="210" spans="1:17" s="19" customFormat="1" ht="4.5" hidden="1" customHeight="1" x14ac:dyDescent="0.25">
      <c r="A210" s="139"/>
      <c r="B210" s="107"/>
      <c r="C210" s="179">
        <v>15</v>
      </c>
      <c r="D210" s="16"/>
      <c r="E210" s="16"/>
      <c r="F210" s="16"/>
      <c r="G210" s="16"/>
      <c r="H210" s="17"/>
      <c r="I210" s="20"/>
      <c r="J210" s="16"/>
      <c r="K210" s="17"/>
      <c r="L210" s="20"/>
      <c r="M210" s="18"/>
      <c r="N210" s="51"/>
      <c r="O210" s="47"/>
      <c r="Q210" s="139"/>
    </row>
    <row r="211" spans="1:17" s="2" customFormat="1" ht="25.15" hidden="1" customHeight="1" x14ac:dyDescent="0.25">
      <c r="A211" s="139"/>
      <c r="B211" s="107"/>
      <c r="C211" s="179"/>
      <c r="D211" s="170" t="s">
        <v>395</v>
      </c>
      <c r="E211" s="170"/>
      <c r="F211" s="170"/>
      <c r="G211" s="170"/>
      <c r="H211" s="170"/>
      <c r="I211" s="164"/>
      <c r="J211" s="6"/>
      <c r="K211" s="6"/>
      <c r="L211" s="164"/>
      <c r="M211" s="6"/>
      <c r="N211" s="52"/>
      <c r="O211" s="46"/>
      <c r="Q211" s="139"/>
    </row>
    <row r="212" spans="1:17" s="2" customFormat="1" ht="25.15" hidden="1" customHeight="1" x14ac:dyDescent="0.25">
      <c r="A212" s="139"/>
      <c r="B212" s="107"/>
      <c r="C212" s="135">
        <v>16</v>
      </c>
      <c r="D212" s="178" t="s">
        <v>370</v>
      </c>
      <c r="E212" s="169"/>
      <c r="F212" s="169"/>
      <c r="G212" s="169"/>
      <c r="H212" s="180"/>
      <c r="I212" s="25"/>
      <c r="J212" s="6"/>
      <c r="K212" s="6"/>
      <c r="L212" s="26"/>
      <c r="M212" s="6"/>
      <c r="N212" s="52"/>
      <c r="O212" s="46"/>
      <c r="Q212" s="139"/>
    </row>
    <row r="213" spans="1:17" s="2" customFormat="1" ht="25.15" hidden="1" customHeight="1" x14ac:dyDescent="0.25">
      <c r="A213" s="139"/>
      <c r="B213" s="107"/>
      <c r="C213" s="135">
        <v>17</v>
      </c>
      <c r="D213" s="178" t="s">
        <v>371</v>
      </c>
      <c r="E213" s="169"/>
      <c r="F213" s="169"/>
      <c r="G213" s="169"/>
      <c r="H213" s="22" t="s">
        <v>15</v>
      </c>
      <c r="I213" s="25"/>
      <c r="J213" s="23" t="s">
        <v>16</v>
      </c>
      <c r="K213" s="22" t="s">
        <v>15</v>
      </c>
      <c r="L213" s="26"/>
      <c r="M213" s="23" t="s">
        <v>16</v>
      </c>
      <c r="N213" s="52"/>
      <c r="O213" s="46"/>
      <c r="Q213" s="139"/>
    </row>
    <row r="214" spans="1:17" s="2" customFormat="1" ht="25.15" hidden="1" customHeight="1" x14ac:dyDescent="0.25">
      <c r="A214" s="139"/>
      <c r="B214" s="107"/>
      <c r="C214" s="142">
        <v>18</v>
      </c>
      <c r="D214" s="178" t="s">
        <v>330</v>
      </c>
      <c r="E214" s="169"/>
      <c r="F214" s="169"/>
      <c r="G214" s="169"/>
      <c r="H214" s="180"/>
      <c r="I214" s="25"/>
      <c r="J214" s="6"/>
      <c r="K214" s="6"/>
      <c r="L214" s="26"/>
      <c r="M214" s="6"/>
      <c r="N214" s="52"/>
      <c r="O214" s="46"/>
      <c r="Q214" s="139"/>
    </row>
    <row r="215" spans="1:17" s="2" customFormat="1" ht="25.15" hidden="1" customHeight="1" x14ac:dyDescent="0.25">
      <c r="A215" s="139"/>
      <c r="B215" s="107"/>
      <c r="C215" s="142">
        <v>19</v>
      </c>
      <c r="D215" s="178" t="s">
        <v>331</v>
      </c>
      <c r="E215" s="169"/>
      <c r="F215" s="169"/>
      <c r="G215" s="169"/>
      <c r="H215" s="180"/>
      <c r="I215" s="25"/>
      <c r="J215" s="6"/>
      <c r="K215" s="6"/>
      <c r="L215" s="26"/>
      <c r="M215" s="6"/>
      <c r="N215" s="52"/>
      <c r="O215" s="47"/>
      <c r="Q215" s="139"/>
    </row>
    <row r="216" spans="1:17" s="2" customFormat="1" ht="25.15" hidden="1" customHeight="1" x14ac:dyDescent="0.25">
      <c r="A216" s="139"/>
      <c r="B216" s="107"/>
      <c r="C216" s="142">
        <v>20</v>
      </c>
      <c r="D216" s="178" t="s">
        <v>332</v>
      </c>
      <c r="E216" s="169"/>
      <c r="F216" s="169"/>
      <c r="G216" s="169"/>
      <c r="H216" s="180"/>
      <c r="I216" s="25"/>
      <c r="J216" s="6"/>
      <c r="K216" s="6"/>
      <c r="L216" s="26"/>
      <c r="M216" s="6"/>
      <c r="N216" s="52"/>
      <c r="O216" s="46"/>
      <c r="Q216" s="139"/>
    </row>
    <row r="217" spans="1:17" s="2" customFormat="1" ht="25.15" hidden="1" customHeight="1" x14ac:dyDescent="0.25">
      <c r="A217" s="139"/>
      <c r="B217" s="107"/>
      <c r="C217" s="142">
        <v>21</v>
      </c>
      <c r="D217" s="178" t="s">
        <v>333</v>
      </c>
      <c r="E217" s="169"/>
      <c r="F217" s="169"/>
      <c r="G217" s="169"/>
      <c r="H217" s="180"/>
      <c r="I217" s="25"/>
      <c r="J217" s="6"/>
      <c r="K217" s="6"/>
      <c r="L217" s="26"/>
      <c r="M217" s="6"/>
      <c r="N217" s="52"/>
      <c r="O217" s="46"/>
      <c r="Q217" s="139"/>
    </row>
    <row r="218" spans="1:17" s="2" customFormat="1" ht="37.9" hidden="1" customHeight="1" x14ac:dyDescent="0.25">
      <c r="A218" s="139"/>
      <c r="B218" s="107"/>
      <c r="C218" s="142">
        <v>22</v>
      </c>
      <c r="D218" s="134" t="s">
        <v>9</v>
      </c>
      <c r="E218" s="181" t="s">
        <v>334</v>
      </c>
      <c r="F218" s="181"/>
      <c r="G218" s="181"/>
      <c r="H218" s="12"/>
      <c r="I218" s="25"/>
      <c r="J218" s="6"/>
      <c r="K218" s="6"/>
      <c r="L218" s="26"/>
      <c r="M218" s="6"/>
      <c r="N218" s="52"/>
      <c r="O218" s="46"/>
      <c r="Q218" s="139"/>
    </row>
    <row r="219" spans="1:17" s="2" customFormat="1" ht="37.9" hidden="1" customHeight="1" x14ac:dyDescent="0.25">
      <c r="A219" s="139"/>
      <c r="B219" s="107"/>
      <c r="C219" s="142">
        <v>23</v>
      </c>
      <c r="D219" s="73" t="s">
        <v>12</v>
      </c>
      <c r="E219" s="136"/>
      <c r="F219" s="136"/>
      <c r="G219" s="136"/>
      <c r="H219" s="14"/>
      <c r="I219" s="28">
        <f>I212-I213+SUM(I214:I218)</f>
        <v>0</v>
      </c>
      <c r="J219" s="29"/>
      <c r="K219" s="29"/>
      <c r="L219" s="28">
        <f>L212-L213+SUM(L214:L218)</f>
        <v>0</v>
      </c>
      <c r="M219" s="6"/>
      <c r="N219" s="52"/>
      <c r="O219" s="47"/>
      <c r="Q219" s="139"/>
    </row>
    <row r="220" spans="1:17" s="2" customFormat="1" ht="29.45" hidden="1" customHeight="1" x14ac:dyDescent="0.25">
      <c r="A220" s="139"/>
      <c r="B220" s="107"/>
      <c r="C220" s="142">
        <v>24</v>
      </c>
      <c r="D220" s="102" t="s">
        <v>13</v>
      </c>
      <c r="E220" s="13"/>
      <c r="F220" s="13"/>
      <c r="G220" s="13"/>
      <c r="H220" s="14"/>
      <c r="I220" s="30" t="str">
        <f>IFERROR(I219/I211,"N/A")</f>
        <v>N/A</v>
      </c>
      <c r="J220" s="29"/>
      <c r="K220" s="29"/>
      <c r="L220" s="30" t="str">
        <f>IFERROR(L219/L211,"N/A")</f>
        <v>N/A</v>
      </c>
      <c r="M220" s="6"/>
      <c r="N220" s="52"/>
      <c r="O220" s="46"/>
      <c r="Q220" s="139"/>
    </row>
    <row r="221" spans="1:17" s="2" customFormat="1" ht="25.15" hidden="1" customHeight="1" x14ac:dyDescent="0.25">
      <c r="A221" s="139"/>
      <c r="B221" s="107"/>
      <c r="C221" s="142">
        <v>25</v>
      </c>
      <c r="D221" s="15" t="s">
        <v>340</v>
      </c>
      <c r="E221" s="12"/>
      <c r="F221" s="12"/>
      <c r="G221" s="12"/>
      <c r="H221" s="22" t="s">
        <v>15</v>
      </c>
      <c r="I221" s="27"/>
      <c r="J221" s="23" t="s">
        <v>16</v>
      </c>
      <c r="K221" s="22" t="s">
        <v>15</v>
      </c>
      <c r="L221" s="27"/>
      <c r="M221" s="23" t="s">
        <v>16</v>
      </c>
      <c r="N221" s="52"/>
      <c r="O221" s="46"/>
      <c r="Q221" s="139"/>
    </row>
    <row r="222" spans="1:17" s="2" customFormat="1" ht="29.45" hidden="1" customHeight="1" x14ac:dyDescent="0.25">
      <c r="A222" s="139"/>
      <c r="B222" s="107"/>
      <c r="C222" s="142">
        <v>26</v>
      </c>
      <c r="D222" s="103" t="s">
        <v>14</v>
      </c>
      <c r="E222" s="72"/>
      <c r="F222" s="72"/>
      <c r="G222" s="72"/>
      <c r="H222" s="21"/>
      <c r="I222" s="55" t="str">
        <f>IFERROR(I220-I221,"N/A")</f>
        <v>N/A</v>
      </c>
      <c r="J222" s="6"/>
      <c r="K222" s="6"/>
      <c r="L222" s="55" t="str">
        <f>IFERROR(L220-L221,"N/A")</f>
        <v>N/A</v>
      </c>
      <c r="M222" s="6"/>
      <c r="N222" s="52"/>
      <c r="O222" s="47"/>
      <c r="Q222" s="139"/>
    </row>
    <row r="223" spans="1:17" s="2" customFormat="1" ht="29.45" hidden="1" customHeight="1" x14ac:dyDescent="0.25">
      <c r="A223" s="139"/>
      <c r="B223" s="107"/>
      <c r="C223" s="142">
        <v>27</v>
      </c>
      <c r="D223" s="70" t="str">
        <f>"Average NET Monthly Rental Income (Loss) "&amp;IF(AND(ISNUMBER(I211),ISNUMBER(L211)),I211+L211,IF(ISNUMBER(I211),I211,IF(ISNUMBER(L211),L211,"____")))&amp;" months"</f>
        <v>Average NET Monthly Rental Income (Loss) ____ months</v>
      </c>
      <c r="E223" s="74"/>
      <c r="F223" s="74"/>
      <c r="G223" s="74"/>
      <c r="H223" s="75"/>
      <c r="I223" s="76"/>
      <c r="J223" s="168" t="str">
        <f>IF(AND(ISNUMBER(I211),ISNUMBER(L211),ISNUMBER(I222),ISNUMBER(L222)),((I211*I222)+(L211*L222))/(I211+L211),IF(AND(OR(NOT(ISNUMBER(L211)),NOT(ISNUMBER(L222))),ISNUMBER(I211),ISNUMBER(I222)),I222,IF(AND(OR(NOT(ISNUMBER(I211)),NOT(ISNUMBER(I222))),ISNUMBER(L211),ISNUMBER(L222)),L222,"N/A")))</f>
        <v>N/A</v>
      </c>
      <c r="K223" s="168"/>
      <c r="L223" s="76"/>
      <c r="M223" s="77"/>
      <c r="N223" s="78"/>
      <c r="O223" s="47"/>
      <c r="Q223" s="139"/>
    </row>
    <row r="224" spans="1:17" s="2" customFormat="1" ht="9.6" hidden="1" customHeight="1" thickBot="1" x14ac:dyDescent="0.3">
      <c r="A224" s="139"/>
      <c r="B224" s="107"/>
      <c r="C224" s="53"/>
      <c r="D224" s="7"/>
      <c r="E224" s="7"/>
      <c r="F224" s="7"/>
      <c r="G224" s="7"/>
      <c r="H224" s="7"/>
      <c r="I224" s="7"/>
      <c r="J224" s="7"/>
      <c r="K224" s="7"/>
      <c r="L224" s="7"/>
      <c r="M224" s="7"/>
      <c r="N224" s="54"/>
      <c r="O224" s="46"/>
      <c r="Q224" s="139"/>
    </row>
    <row r="225" spans="1:17" s="2" customFormat="1" ht="27" hidden="1" customHeight="1" thickBot="1" x14ac:dyDescent="0.3">
      <c r="A225" s="139"/>
      <c r="B225" s="107"/>
      <c r="C225" s="84"/>
      <c r="D225" s="82" t="s">
        <v>10</v>
      </c>
      <c r="E225" s="176"/>
      <c r="F225" s="176"/>
      <c r="G225" s="176"/>
      <c r="H225" s="176"/>
      <c r="I225" s="176"/>
      <c r="J225" s="176"/>
      <c r="K225" s="176"/>
      <c r="L225" s="177"/>
      <c r="M225" s="24" t="s">
        <v>8</v>
      </c>
      <c r="N225" s="85"/>
      <c r="O225" s="46"/>
      <c r="Q225" s="139"/>
    </row>
    <row r="226" spans="1:17" s="2" customFormat="1" ht="28.15" hidden="1" customHeight="1" x14ac:dyDescent="0.25">
      <c r="A226" s="139"/>
      <c r="B226" s="107"/>
      <c r="C226" s="83" t="s">
        <v>11</v>
      </c>
      <c r="D226" s="93"/>
      <c r="E226" s="94"/>
      <c r="F226" s="94"/>
      <c r="G226" s="95"/>
      <c r="H226" s="96"/>
      <c r="I226" s="97" t="str">
        <f>IF(ISNUMBER($I$8),$I$8,"")</f>
        <v/>
      </c>
      <c r="J226" s="94"/>
      <c r="K226" s="96"/>
      <c r="L226" s="97" t="str">
        <f>IF(ISNUMBER($L$8),$L$8,"")</f>
        <v/>
      </c>
      <c r="M226" s="98"/>
      <c r="N226" s="99"/>
      <c r="O226" s="46"/>
      <c r="Q226" s="139"/>
    </row>
    <row r="227" spans="1:17" s="19" customFormat="1" ht="4.5" hidden="1" customHeight="1" x14ac:dyDescent="0.25">
      <c r="A227" s="139"/>
      <c r="B227" s="107"/>
      <c r="C227" s="179">
        <v>15</v>
      </c>
      <c r="D227" s="16"/>
      <c r="E227" s="16"/>
      <c r="F227" s="16"/>
      <c r="G227" s="16"/>
      <c r="H227" s="17"/>
      <c r="I227" s="20"/>
      <c r="J227" s="16"/>
      <c r="K227" s="17"/>
      <c r="L227" s="20"/>
      <c r="M227" s="18"/>
      <c r="N227" s="51"/>
      <c r="O227" s="47"/>
      <c r="Q227" s="139"/>
    </row>
    <row r="228" spans="1:17" s="2" customFormat="1" ht="25.15" hidden="1" customHeight="1" x14ac:dyDescent="0.25">
      <c r="A228" s="139"/>
      <c r="B228" s="107"/>
      <c r="C228" s="179"/>
      <c r="D228" s="170" t="s">
        <v>395</v>
      </c>
      <c r="E228" s="170"/>
      <c r="F228" s="170"/>
      <c r="G228" s="170"/>
      <c r="H228" s="170"/>
      <c r="I228" s="164"/>
      <c r="J228" s="6"/>
      <c r="K228" s="6"/>
      <c r="L228" s="164"/>
      <c r="M228" s="6"/>
      <c r="N228" s="52"/>
      <c r="O228" s="46"/>
      <c r="Q228" s="139"/>
    </row>
    <row r="229" spans="1:17" s="2" customFormat="1" ht="25.15" hidden="1" customHeight="1" x14ac:dyDescent="0.25">
      <c r="A229" s="139"/>
      <c r="B229" s="107"/>
      <c r="C229" s="135">
        <v>16</v>
      </c>
      <c r="D229" s="178" t="s">
        <v>370</v>
      </c>
      <c r="E229" s="169"/>
      <c r="F229" s="169"/>
      <c r="G229" s="169"/>
      <c r="H229" s="180"/>
      <c r="I229" s="25"/>
      <c r="J229" s="6"/>
      <c r="K229" s="6"/>
      <c r="L229" s="26"/>
      <c r="M229" s="6"/>
      <c r="N229" s="52"/>
      <c r="O229" s="46"/>
      <c r="Q229" s="139"/>
    </row>
    <row r="230" spans="1:17" s="2" customFormat="1" ht="25.15" hidden="1" customHeight="1" x14ac:dyDescent="0.25">
      <c r="A230" s="139"/>
      <c r="B230" s="107"/>
      <c r="C230" s="135">
        <v>17</v>
      </c>
      <c r="D230" s="178" t="s">
        <v>371</v>
      </c>
      <c r="E230" s="169"/>
      <c r="F230" s="169"/>
      <c r="G230" s="169"/>
      <c r="H230" s="22" t="s">
        <v>15</v>
      </c>
      <c r="I230" s="25"/>
      <c r="J230" s="23" t="s">
        <v>16</v>
      </c>
      <c r="K230" s="22" t="s">
        <v>15</v>
      </c>
      <c r="L230" s="26"/>
      <c r="M230" s="23" t="s">
        <v>16</v>
      </c>
      <c r="N230" s="52"/>
      <c r="O230" s="46"/>
      <c r="Q230" s="139"/>
    </row>
    <row r="231" spans="1:17" s="2" customFormat="1" ht="25.15" hidden="1" customHeight="1" x14ac:dyDescent="0.25">
      <c r="A231" s="139"/>
      <c r="B231" s="107"/>
      <c r="C231" s="142">
        <v>18</v>
      </c>
      <c r="D231" s="178" t="s">
        <v>330</v>
      </c>
      <c r="E231" s="169"/>
      <c r="F231" s="169"/>
      <c r="G231" s="169"/>
      <c r="H231" s="180"/>
      <c r="I231" s="25"/>
      <c r="J231" s="6"/>
      <c r="K231" s="6"/>
      <c r="L231" s="26"/>
      <c r="M231" s="6"/>
      <c r="N231" s="52"/>
      <c r="O231" s="46"/>
      <c r="Q231" s="139"/>
    </row>
    <row r="232" spans="1:17" s="2" customFormat="1" ht="25.15" hidden="1" customHeight="1" x14ac:dyDescent="0.25">
      <c r="A232" s="139"/>
      <c r="B232" s="107"/>
      <c r="C232" s="142">
        <v>19</v>
      </c>
      <c r="D232" s="178" t="s">
        <v>331</v>
      </c>
      <c r="E232" s="169"/>
      <c r="F232" s="169"/>
      <c r="G232" s="169"/>
      <c r="H232" s="180"/>
      <c r="I232" s="25"/>
      <c r="J232" s="6"/>
      <c r="K232" s="6"/>
      <c r="L232" s="26"/>
      <c r="M232" s="6"/>
      <c r="N232" s="52"/>
      <c r="O232" s="47"/>
      <c r="Q232" s="139"/>
    </row>
    <row r="233" spans="1:17" s="2" customFormat="1" ht="25.15" hidden="1" customHeight="1" x14ac:dyDescent="0.25">
      <c r="A233" s="139"/>
      <c r="B233" s="107"/>
      <c r="C233" s="142">
        <v>20</v>
      </c>
      <c r="D233" s="178" t="s">
        <v>332</v>
      </c>
      <c r="E233" s="169"/>
      <c r="F233" s="169"/>
      <c r="G233" s="169"/>
      <c r="H233" s="180"/>
      <c r="I233" s="25"/>
      <c r="J233" s="6"/>
      <c r="K233" s="6"/>
      <c r="L233" s="26"/>
      <c r="M233" s="6"/>
      <c r="N233" s="52"/>
      <c r="O233" s="46"/>
      <c r="Q233" s="139"/>
    </row>
    <row r="234" spans="1:17" s="2" customFormat="1" ht="25.15" hidden="1" customHeight="1" x14ac:dyDescent="0.25">
      <c r="A234" s="139"/>
      <c r="B234" s="107"/>
      <c r="C234" s="142">
        <v>21</v>
      </c>
      <c r="D234" s="178" t="s">
        <v>333</v>
      </c>
      <c r="E234" s="169"/>
      <c r="F234" s="169"/>
      <c r="G234" s="169"/>
      <c r="H234" s="180"/>
      <c r="I234" s="25"/>
      <c r="J234" s="6"/>
      <c r="K234" s="6"/>
      <c r="L234" s="26"/>
      <c r="M234" s="6"/>
      <c r="N234" s="52"/>
      <c r="O234" s="46"/>
      <c r="Q234" s="139"/>
    </row>
    <row r="235" spans="1:17" s="2" customFormat="1" ht="37.9" hidden="1" customHeight="1" x14ac:dyDescent="0.25">
      <c r="A235" s="139"/>
      <c r="B235" s="107"/>
      <c r="C235" s="142">
        <v>22</v>
      </c>
      <c r="D235" s="134" t="s">
        <v>9</v>
      </c>
      <c r="E235" s="181" t="s">
        <v>334</v>
      </c>
      <c r="F235" s="181"/>
      <c r="G235" s="181"/>
      <c r="H235" s="12"/>
      <c r="I235" s="25"/>
      <c r="J235" s="6"/>
      <c r="K235" s="6"/>
      <c r="L235" s="26"/>
      <c r="M235" s="6"/>
      <c r="N235" s="52"/>
      <c r="O235" s="46"/>
      <c r="Q235" s="139"/>
    </row>
    <row r="236" spans="1:17" s="2" customFormat="1" ht="37.9" hidden="1" customHeight="1" x14ac:dyDescent="0.25">
      <c r="A236" s="139"/>
      <c r="B236" s="107"/>
      <c r="C236" s="142">
        <v>23</v>
      </c>
      <c r="D236" s="73" t="s">
        <v>12</v>
      </c>
      <c r="E236" s="136"/>
      <c r="F236" s="136"/>
      <c r="G236" s="136"/>
      <c r="H236" s="14"/>
      <c r="I236" s="28">
        <f>I229-I230+SUM(I231:I235)</f>
        <v>0</v>
      </c>
      <c r="J236" s="29"/>
      <c r="K236" s="29"/>
      <c r="L236" s="28">
        <f>L229-L230+SUM(L231:L235)</f>
        <v>0</v>
      </c>
      <c r="M236" s="6"/>
      <c r="N236" s="52"/>
      <c r="O236" s="47"/>
      <c r="Q236" s="139"/>
    </row>
    <row r="237" spans="1:17" s="2" customFormat="1" ht="29.45" hidden="1" customHeight="1" x14ac:dyDescent="0.25">
      <c r="A237" s="139"/>
      <c r="B237" s="107"/>
      <c r="C237" s="142">
        <v>24</v>
      </c>
      <c r="D237" s="102" t="s">
        <v>13</v>
      </c>
      <c r="E237" s="13"/>
      <c r="F237" s="13"/>
      <c r="G237" s="13"/>
      <c r="H237" s="14"/>
      <c r="I237" s="30" t="str">
        <f>IFERROR(I236/I228,"N/A")</f>
        <v>N/A</v>
      </c>
      <c r="J237" s="29"/>
      <c r="K237" s="29"/>
      <c r="L237" s="30" t="str">
        <f>IFERROR(L236/L228,"N/A")</f>
        <v>N/A</v>
      </c>
      <c r="M237" s="6"/>
      <c r="N237" s="52"/>
      <c r="O237" s="46"/>
      <c r="Q237" s="139"/>
    </row>
    <row r="238" spans="1:17" s="2" customFormat="1" ht="25.15" hidden="1" customHeight="1" x14ac:dyDescent="0.25">
      <c r="A238" s="139"/>
      <c r="B238" s="107"/>
      <c r="C238" s="142">
        <v>25</v>
      </c>
      <c r="D238" s="15" t="s">
        <v>340</v>
      </c>
      <c r="E238" s="12"/>
      <c r="F238" s="12"/>
      <c r="G238" s="12"/>
      <c r="H238" s="22" t="s">
        <v>15</v>
      </c>
      <c r="I238" s="27"/>
      <c r="J238" s="23" t="s">
        <v>16</v>
      </c>
      <c r="K238" s="22" t="s">
        <v>15</v>
      </c>
      <c r="L238" s="27"/>
      <c r="M238" s="23" t="s">
        <v>16</v>
      </c>
      <c r="N238" s="52"/>
      <c r="O238" s="46"/>
      <c r="Q238" s="139"/>
    </row>
    <row r="239" spans="1:17" s="2" customFormat="1" ht="29.45" hidden="1" customHeight="1" x14ac:dyDescent="0.25">
      <c r="A239" s="139"/>
      <c r="B239" s="107"/>
      <c r="C239" s="142">
        <v>26</v>
      </c>
      <c r="D239" s="103" t="s">
        <v>14</v>
      </c>
      <c r="E239" s="72"/>
      <c r="F239" s="72"/>
      <c r="G239" s="72"/>
      <c r="H239" s="21"/>
      <c r="I239" s="55" t="str">
        <f>IFERROR(I237-I238,"N/A")</f>
        <v>N/A</v>
      </c>
      <c r="J239" s="6"/>
      <c r="K239" s="6"/>
      <c r="L239" s="55" t="str">
        <f>IFERROR(L237-L238,"N/A")</f>
        <v>N/A</v>
      </c>
      <c r="M239" s="6"/>
      <c r="N239" s="52"/>
      <c r="O239" s="47"/>
      <c r="Q239" s="139"/>
    </row>
    <row r="240" spans="1:17" s="2" customFormat="1" ht="29.45" hidden="1" customHeight="1" x14ac:dyDescent="0.25">
      <c r="A240" s="139"/>
      <c r="B240" s="107"/>
      <c r="C240" s="142">
        <v>27</v>
      </c>
      <c r="D240" s="70" t="str">
        <f>"Average NET Monthly Rental Income (Loss) "&amp;IF(AND(ISNUMBER(I228),ISNUMBER(L228)),I228+L228,IF(ISNUMBER(I228),I228,IF(ISNUMBER(L228),L228,"____")))&amp;" months"</f>
        <v>Average NET Monthly Rental Income (Loss) ____ months</v>
      </c>
      <c r="E240" s="74"/>
      <c r="F240" s="74"/>
      <c r="G240" s="74"/>
      <c r="H240" s="75"/>
      <c r="I240" s="76"/>
      <c r="J240" s="168" t="str">
        <f>IF(AND(ISNUMBER(I228),ISNUMBER(L228),ISNUMBER(I239),ISNUMBER(L239)),((I228*I239)+(L228*L239))/(I228+L228),IF(AND(OR(NOT(ISNUMBER(L228)),NOT(ISNUMBER(L239))),ISNUMBER(I228),ISNUMBER(I239)),I239,IF(AND(OR(NOT(ISNUMBER(I228)),NOT(ISNUMBER(I239))),ISNUMBER(L228),ISNUMBER(L239)),L239,"N/A")))</f>
        <v>N/A</v>
      </c>
      <c r="K240" s="168"/>
      <c r="L240" s="76"/>
      <c r="M240" s="77"/>
      <c r="N240" s="78"/>
      <c r="O240" s="47"/>
      <c r="Q240" s="139"/>
    </row>
    <row r="241" spans="1:17" s="2" customFormat="1" ht="9.6" hidden="1" customHeight="1" thickBot="1" x14ac:dyDescent="0.3">
      <c r="A241" s="139"/>
      <c r="B241" s="107"/>
      <c r="C241" s="53"/>
      <c r="D241" s="7"/>
      <c r="E241" s="7"/>
      <c r="F241" s="7"/>
      <c r="G241" s="7"/>
      <c r="H241" s="7"/>
      <c r="I241" s="7"/>
      <c r="J241" s="7"/>
      <c r="K241" s="7"/>
      <c r="L241" s="7"/>
      <c r="M241" s="7"/>
      <c r="N241" s="54"/>
      <c r="O241" s="46"/>
      <c r="Q241" s="139"/>
    </row>
    <row r="242" spans="1:17" s="2" customFormat="1" ht="27" hidden="1" customHeight="1" thickBot="1" x14ac:dyDescent="0.3">
      <c r="A242" s="139"/>
      <c r="B242" s="107"/>
      <c r="C242" s="84"/>
      <c r="D242" s="82" t="s">
        <v>10</v>
      </c>
      <c r="E242" s="177"/>
      <c r="F242" s="196"/>
      <c r="G242" s="196"/>
      <c r="H242" s="196"/>
      <c r="I242" s="196"/>
      <c r="J242" s="196"/>
      <c r="K242" s="196"/>
      <c r="L242" s="196"/>
      <c r="M242" s="24" t="s">
        <v>8</v>
      </c>
      <c r="N242" s="85"/>
      <c r="O242" s="46"/>
      <c r="Q242" s="139"/>
    </row>
    <row r="243" spans="1:17" s="2" customFormat="1" ht="28.15" hidden="1" customHeight="1" x14ac:dyDescent="0.25">
      <c r="A243" s="139"/>
      <c r="B243" s="107"/>
      <c r="C243" s="83" t="s">
        <v>11</v>
      </c>
      <c r="D243" s="93"/>
      <c r="E243" s="94"/>
      <c r="F243" s="94"/>
      <c r="G243" s="95"/>
      <c r="H243" s="96"/>
      <c r="I243" s="97" t="str">
        <f>IF(ISNUMBER($I$8),$I$8,"")</f>
        <v/>
      </c>
      <c r="J243" s="94"/>
      <c r="K243" s="96"/>
      <c r="L243" s="97" t="str">
        <f>IF(ISNUMBER($L$8),$L$8,"")</f>
        <v/>
      </c>
      <c r="M243" s="98"/>
      <c r="N243" s="99"/>
      <c r="O243" s="46"/>
      <c r="Q243" s="139"/>
    </row>
    <row r="244" spans="1:17" s="19" customFormat="1" ht="4.5" hidden="1" customHeight="1" x14ac:dyDescent="0.25">
      <c r="A244" s="139"/>
      <c r="B244" s="107"/>
      <c r="C244" s="197">
        <v>15</v>
      </c>
      <c r="D244" s="16"/>
      <c r="E244" s="16"/>
      <c r="F244" s="16"/>
      <c r="G244" s="16"/>
      <c r="H244" s="17"/>
      <c r="I244" s="20"/>
      <c r="J244" s="16"/>
      <c r="K244" s="17"/>
      <c r="L244" s="20"/>
      <c r="M244" s="18"/>
      <c r="N244" s="51"/>
      <c r="O244" s="47"/>
      <c r="Q244" s="139"/>
    </row>
    <row r="245" spans="1:17" s="2" customFormat="1" ht="25.15" hidden="1" customHeight="1" x14ac:dyDescent="0.25">
      <c r="A245" s="139"/>
      <c r="B245" s="107"/>
      <c r="C245" s="198"/>
      <c r="D245" s="170" t="s">
        <v>395</v>
      </c>
      <c r="E245" s="170"/>
      <c r="F245" s="170"/>
      <c r="G245" s="170"/>
      <c r="H245" s="170"/>
      <c r="I245" s="164"/>
      <c r="J245" s="6"/>
      <c r="K245" s="6"/>
      <c r="L245" s="164"/>
      <c r="M245" s="6"/>
      <c r="N245" s="52"/>
      <c r="O245" s="46"/>
      <c r="Q245" s="139"/>
    </row>
    <row r="246" spans="1:17" s="2" customFormat="1" ht="25.15" hidden="1" customHeight="1" x14ac:dyDescent="0.25">
      <c r="A246" s="139"/>
      <c r="B246" s="107"/>
      <c r="C246" s="135">
        <v>16</v>
      </c>
      <c r="D246" s="178" t="s">
        <v>370</v>
      </c>
      <c r="E246" s="169"/>
      <c r="F246" s="169"/>
      <c r="G246" s="169"/>
      <c r="H246" s="180"/>
      <c r="I246" s="25"/>
      <c r="J246" s="6"/>
      <c r="K246" s="6"/>
      <c r="L246" s="26"/>
      <c r="M246" s="6"/>
      <c r="N246" s="52"/>
      <c r="O246" s="46"/>
      <c r="Q246" s="139"/>
    </row>
    <row r="247" spans="1:17" s="2" customFormat="1" ht="25.15" hidden="1" customHeight="1" x14ac:dyDescent="0.25">
      <c r="A247" s="139"/>
      <c r="B247" s="107"/>
      <c r="C247" s="135">
        <v>17</v>
      </c>
      <c r="D247" s="178" t="s">
        <v>371</v>
      </c>
      <c r="E247" s="169"/>
      <c r="F247" s="169"/>
      <c r="G247" s="169"/>
      <c r="H247" s="22" t="s">
        <v>15</v>
      </c>
      <c r="I247" s="25"/>
      <c r="J247" s="23" t="s">
        <v>16</v>
      </c>
      <c r="K247" s="22" t="s">
        <v>15</v>
      </c>
      <c r="L247" s="26"/>
      <c r="M247" s="23" t="s">
        <v>16</v>
      </c>
      <c r="N247" s="52"/>
      <c r="O247" s="46"/>
      <c r="Q247" s="139"/>
    </row>
    <row r="248" spans="1:17" s="2" customFormat="1" ht="25.15" hidden="1" customHeight="1" x14ac:dyDescent="0.25">
      <c r="A248" s="139"/>
      <c r="B248" s="107"/>
      <c r="C248" s="142">
        <v>18</v>
      </c>
      <c r="D248" s="178" t="s">
        <v>330</v>
      </c>
      <c r="E248" s="169"/>
      <c r="F248" s="169"/>
      <c r="G248" s="169"/>
      <c r="H248" s="180"/>
      <c r="I248" s="25"/>
      <c r="J248" s="6"/>
      <c r="K248" s="6"/>
      <c r="L248" s="26"/>
      <c r="M248" s="6"/>
      <c r="N248" s="52"/>
      <c r="O248" s="46"/>
      <c r="Q248" s="139"/>
    </row>
    <row r="249" spans="1:17" s="2" customFormat="1" ht="25.15" hidden="1" customHeight="1" x14ac:dyDescent="0.25">
      <c r="A249" s="139"/>
      <c r="B249" s="107"/>
      <c r="C249" s="142">
        <v>19</v>
      </c>
      <c r="D249" s="178" t="s">
        <v>331</v>
      </c>
      <c r="E249" s="169"/>
      <c r="F249" s="169"/>
      <c r="G249" s="169"/>
      <c r="H249" s="180"/>
      <c r="I249" s="25"/>
      <c r="J249" s="6"/>
      <c r="K249" s="6"/>
      <c r="L249" s="26"/>
      <c r="M249" s="6"/>
      <c r="N249" s="52"/>
      <c r="O249" s="47"/>
      <c r="Q249" s="139"/>
    </row>
    <row r="250" spans="1:17" s="2" customFormat="1" ht="25.15" hidden="1" customHeight="1" x14ac:dyDescent="0.25">
      <c r="A250" s="139"/>
      <c r="B250" s="107"/>
      <c r="C250" s="142">
        <v>20</v>
      </c>
      <c r="D250" s="178" t="s">
        <v>332</v>
      </c>
      <c r="E250" s="169"/>
      <c r="F250" s="169"/>
      <c r="G250" s="169"/>
      <c r="H250" s="180"/>
      <c r="I250" s="25"/>
      <c r="J250" s="6"/>
      <c r="K250" s="6"/>
      <c r="L250" s="26"/>
      <c r="M250" s="6"/>
      <c r="N250" s="52"/>
      <c r="O250" s="46"/>
      <c r="Q250" s="139"/>
    </row>
    <row r="251" spans="1:17" s="2" customFormat="1" ht="25.15" hidden="1" customHeight="1" x14ac:dyDescent="0.25">
      <c r="A251" s="139"/>
      <c r="B251" s="107"/>
      <c r="C251" s="142">
        <v>21</v>
      </c>
      <c r="D251" s="178" t="s">
        <v>333</v>
      </c>
      <c r="E251" s="169"/>
      <c r="F251" s="169"/>
      <c r="G251" s="169"/>
      <c r="H251" s="180"/>
      <c r="I251" s="25"/>
      <c r="J251" s="6"/>
      <c r="K251" s="6"/>
      <c r="L251" s="26"/>
      <c r="M251" s="6"/>
      <c r="N251" s="52"/>
      <c r="O251" s="46"/>
      <c r="Q251" s="139"/>
    </row>
    <row r="252" spans="1:17" s="2" customFormat="1" ht="37.9" hidden="1" customHeight="1" x14ac:dyDescent="0.25">
      <c r="A252" s="139"/>
      <c r="B252" s="107"/>
      <c r="C252" s="142">
        <v>22</v>
      </c>
      <c r="D252" s="134" t="s">
        <v>9</v>
      </c>
      <c r="E252" s="181" t="s">
        <v>334</v>
      </c>
      <c r="F252" s="181"/>
      <c r="G252" s="181"/>
      <c r="H252" s="12"/>
      <c r="I252" s="25"/>
      <c r="J252" s="6"/>
      <c r="K252" s="6"/>
      <c r="L252" s="26"/>
      <c r="M252" s="6"/>
      <c r="N252" s="52"/>
      <c r="O252" s="46"/>
      <c r="Q252" s="139"/>
    </row>
    <row r="253" spans="1:17" s="2" customFormat="1" ht="37.9" hidden="1" customHeight="1" x14ac:dyDescent="0.25">
      <c r="A253" s="139"/>
      <c r="B253" s="107"/>
      <c r="C253" s="142">
        <v>23</v>
      </c>
      <c r="D253" s="73" t="s">
        <v>12</v>
      </c>
      <c r="E253" s="136"/>
      <c r="F253" s="136"/>
      <c r="G253" s="136"/>
      <c r="H253" s="14"/>
      <c r="I253" s="28">
        <f>I246-I247+SUM(I248:I252)</f>
        <v>0</v>
      </c>
      <c r="J253" s="29"/>
      <c r="K253" s="29"/>
      <c r="L253" s="28">
        <f>L246-L247+SUM(L248:L252)</f>
        <v>0</v>
      </c>
      <c r="M253" s="6"/>
      <c r="N253" s="52"/>
      <c r="O253" s="47"/>
      <c r="Q253" s="139"/>
    </row>
    <row r="254" spans="1:17" s="2" customFormat="1" ht="29.45" hidden="1" customHeight="1" x14ac:dyDescent="0.25">
      <c r="A254" s="139"/>
      <c r="B254" s="107"/>
      <c r="C254" s="142">
        <v>24</v>
      </c>
      <c r="D254" s="102" t="s">
        <v>13</v>
      </c>
      <c r="E254" s="13"/>
      <c r="F254" s="13"/>
      <c r="G254" s="13"/>
      <c r="H254" s="14"/>
      <c r="I254" s="30" t="str">
        <f>IFERROR(I253/I245,"N/A")</f>
        <v>N/A</v>
      </c>
      <c r="J254" s="29"/>
      <c r="K254" s="29"/>
      <c r="L254" s="30" t="str">
        <f>IFERROR(L253/L245,"N/A")</f>
        <v>N/A</v>
      </c>
      <c r="M254" s="6"/>
      <c r="N254" s="52"/>
      <c r="O254" s="46"/>
      <c r="Q254" s="139"/>
    </row>
    <row r="255" spans="1:17" s="2" customFormat="1" ht="25.15" hidden="1" customHeight="1" x14ac:dyDescent="0.25">
      <c r="A255" s="139"/>
      <c r="B255" s="107"/>
      <c r="C255" s="142">
        <v>25</v>
      </c>
      <c r="D255" s="15" t="s">
        <v>340</v>
      </c>
      <c r="E255" s="12"/>
      <c r="F255" s="12"/>
      <c r="G255" s="12"/>
      <c r="H255" s="22" t="s">
        <v>15</v>
      </c>
      <c r="I255" s="27"/>
      <c r="J255" s="23" t="s">
        <v>16</v>
      </c>
      <c r="K255" s="22" t="s">
        <v>15</v>
      </c>
      <c r="L255" s="27"/>
      <c r="M255" s="23" t="s">
        <v>16</v>
      </c>
      <c r="N255" s="52"/>
      <c r="O255" s="46"/>
      <c r="Q255" s="139"/>
    </row>
    <row r="256" spans="1:17" s="2" customFormat="1" ht="29.45" hidden="1" customHeight="1" x14ac:dyDescent="0.25">
      <c r="A256" s="139"/>
      <c r="B256" s="107"/>
      <c r="C256" s="142">
        <v>26</v>
      </c>
      <c r="D256" s="103" t="s">
        <v>14</v>
      </c>
      <c r="E256" s="72"/>
      <c r="F256" s="72"/>
      <c r="G256" s="72"/>
      <c r="H256" s="21"/>
      <c r="I256" s="55" t="str">
        <f>IFERROR(I254-I255,"N/A")</f>
        <v>N/A</v>
      </c>
      <c r="J256" s="6"/>
      <c r="K256" s="6"/>
      <c r="L256" s="55" t="str">
        <f>IFERROR(L254-L255,"N/A")</f>
        <v>N/A</v>
      </c>
      <c r="M256" s="6"/>
      <c r="N256" s="52"/>
      <c r="O256" s="47"/>
      <c r="Q256" s="139"/>
    </row>
    <row r="257" spans="1:17" s="2" customFormat="1" ht="29.45" hidden="1" customHeight="1" x14ac:dyDescent="0.25">
      <c r="A257" s="139"/>
      <c r="B257" s="107"/>
      <c r="C257" s="142">
        <v>27</v>
      </c>
      <c r="D257" s="70" t="str">
        <f>"Average NET Monthly Rental Income (Loss) "&amp;IF(AND(ISNUMBER(I245),ISNUMBER(L245)),I245+L245,IF(ISNUMBER(I245),I245,IF(ISNUMBER(L245),L245,"____")))&amp;" months"</f>
        <v>Average NET Monthly Rental Income (Loss) ____ months</v>
      </c>
      <c r="E257" s="74"/>
      <c r="F257" s="74"/>
      <c r="G257" s="74"/>
      <c r="H257" s="75"/>
      <c r="I257" s="76"/>
      <c r="J257" s="168" t="str">
        <f>IF(AND(ISNUMBER(I245),ISNUMBER(L245),ISNUMBER(I256),ISNUMBER(L256)),((I245*I256)+(L245*L256))/(I245+L245),IF(AND(OR(NOT(ISNUMBER(L245)),NOT(ISNUMBER(L256))),ISNUMBER(I245),ISNUMBER(I256)),I256,IF(AND(OR(NOT(ISNUMBER(I245)),NOT(ISNUMBER(I256))),ISNUMBER(L245),ISNUMBER(L256)),L256,"N/A")))</f>
        <v>N/A</v>
      </c>
      <c r="K257" s="168"/>
      <c r="L257" s="76"/>
      <c r="M257" s="77"/>
      <c r="N257" s="78"/>
      <c r="O257" s="47"/>
      <c r="Q257" s="139"/>
    </row>
    <row r="258" spans="1:17" s="2" customFormat="1" ht="9.6" hidden="1" customHeight="1" thickBot="1" x14ac:dyDescent="0.3">
      <c r="A258" s="139"/>
      <c r="B258" s="107"/>
      <c r="C258" s="53"/>
      <c r="D258" s="7"/>
      <c r="E258" s="7"/>
      <c r="F258" s="7"/>
      <c r="G258" s="7"/>
      <c r="H258" s="7"/>
      <c r="I258" s="7"/>
      <c r="J258" s="7"/>
      <c r="K258" s="7"/>
      <c r="L258" s="7"/>
      <c r="M258" s="7"/>
      <c r="N258" s="54"/>
      <c r="O258" s="46"/>
      <c r="Q258" s="139"/>
    </row>
    <row r="259" spans="1:17" s="2" customFormat="1" ht="27" hidden="1" customHeight="1" thickBot="1" x14ac:dyDescent="0.3">
      <c r="A259" s="139"/>
      <c r="B259" s="107"/>
      <c r="C259" s="84"/>
      <c r="D259" s="82" t="s">
        <v>10</v>
      </c>
      <c r="E259" s="176"/>
      <c r="F259" s="176"/>
      <c r="G259" s="176"/>
      <c r="H259" s="176"/>
      <c r="I259" s="176"/>
      <c r="J259" s="176"/>
      <c r="K259" s="176"/>
      <c r="L259" s="177"/>
      <c r="M259" s="24" t="s">
        <v>8</v>
      </c>
      <c r="N259" s="85"/>
      <c r="O259" s="46"/>
      <c r="Q259" s="139"/>
    </row>
    <row r="260" spans="1:17" s="2" customFormat="1" ht="28.15" hidden="1" customHeight="1" x14ac:dyDescent="0.25">
      <c r="A260" s="139"/>
      <c r="B260" s="107"/>
      <c r="C260" s="83" t="s">
        <v>11</v>
      </c>
      <c r="D260" s="93"/>
      <c r="E260" s="94"/>
      <c r="F260" s="94"/>
      <c r="G260" s="95"/>
      <c r="H260" s="96"/>
      <c r="I260" s="97" t="str">
        <f>IF(ISNUMBER($I$8),$I$8,"")</f>
        <v/>
      </c>
      <c r="J260" s="94"/>
      <c r="K260" s="96"/>
      <c r="L260" s="97" t="str">
        <f>IF(ISNUMBER($L$8),$L$8,"")</f>
        <v/>
      </c>
      <c r="M260" s="98"/>
      <c r="N260" s="99"/>
      <c r="O260" s="46"/>
      <c r="Q260" s="139"/>
    </row>
    <row r="261" spans="1:17" s="19" customFormat="1" ht="4.5" hidden="1" customHeight="1" x14ac:dyDescent="0.25">
      <c r="A261" s="139"/>
      <c r="B261" s="107"/>
      <c r="C261" s="179">
        <v>15</v>
      </c>
      <c r="D261" s="16"/>
      <c r="E261" s="16"/>
      <c r="F261" s="16"/>
      <c r="G261" s="16"/>
      <c r="H261" s="17"/>
      <c r="I261" s="20"/>
      <c r="J261" s="16"/>
      <c r="K261" s="17"/>
      <c r="L261" s="20"/>
      <c r="M261" s="18"/>
      <c r="N261" s="51"/>
      <c r="O261" s="47"/>
      <c r="Q261" s="139"/>
    </row>
    <row r="262" spans="1:17" s="2" customFormat="1" ht="25.15" hidden="1" customHeight="1" x14ac:dyDescent="0.25">
      <c r="A262" s="139"/>
      <c r="B262" s="107"/>
      <c r="C262" s="179"/>
      <c r="D262" s="170" t="s">
        <v>395</v>
      </c>
      <c r="E262" s="170"/>
      <c r="F262" s="170"/>
      <c r="G262" s="170"/>
      <c r="H262" s="170"/>
      <c r="I262" s="164"/>
      <c r="J262" s="6"/>
      <c r="K262" s="6"/>
      <c r="L262" s="164"/>
      <c r="M262" s="6"/>
      <c r="N262" s="52"/>
      <c r="O262" s="46"/>
      <c r="Q262" s="139"/>
    </row>
    <row r="263" spans="1:17" s="2" customFormat="1" ht="25.15" hidden="1" customHeight="1" x14ac:dyDescent="0.25">
      <c r="A263" s="139"/>
      <c r="B263" s="107"/>
      <c r="C263" s="135">
        <v>16</v>
      </c>
      <c r="D263" s="169" t="s">
        <v>370</v>
      </c>
      <c r="E263" s="170"/>
      <c r="F263" s="170"/>
      <c r="G263" s="170"/>
      <c r="H263" s="170"/>
      <c r="I263" s="25"/>
      <c r="J263" s="6"/>
      <c r="K263" s="6"/>
      <c r="L263" s="26"/>
      <c r="M263" s="6"/>
      <c r="N263" s="52"/>
      <c r="O263" s="46"/>
      <c r="Q263" s="139"/>
    </row>
    <row r="264" spans="1:17" s="2" customFormat="1" ht="25.15" hidden="1" customHeight="1" x14ac:dyDescent="0.25">
      <c r="A264" s="139"/>
      <c r="B264" s="107"/>
      <c r="C264" s="135">
        <v>17</v>
      </c>
      <c r="D264" s="178" t="s">
        <v>371</v>
      </c>
      <c r="E264" s="169"/>
      <c r="F264" s="169"/>
      <c r="G264" s="169"/>
      <c r="H264" s="22" t="s">
        <v>15</v>
      </c>
      <c r="I264" s="25"/>
      <c r="J264" s="23" t="s">
        <v>16</v>
      </c>
      <c r="K264" s="22" t="s">
        <v>15</v>
      </c>
      <c r="L264" s="26"/>
      <c r="M264" s="23" t="s">
        <v>16</v>
      </c>
      <c r="N264" s="52"/>
      <c r="O264" s="46"/>
      <c r="Q264" s="139"/>
    </row>
    <row r="265" spans="1:17" s="2" customFormat="1" ht="25.15" hidden="1" customHeight="1" x14ac:dyDescent="0.25">
      <c r="A265" s="139"/>
      <c r="B265" s="107"/>
      <c r="C265" s="142">
        <v>18</v>
      </c>
      <c r="D265" s="169" t="s">
        <v>330</v>
      </c>
      <c r="E265" s="170"/>
      <c r="F265" s="170"/>
      <c r="G265" s="170"/>
      <c r="H265" s="170"/>
      <c r="I265" s="25"/>
      <c r="J265" s="6"/>
      <c r="K265" s="6"/>
      <c r="L265" s="26"/>
      <c r="M265" s="6"/>
      <c r="N265" s="52"/>
      <c r="O265" s="46"/>
      <c r="Q265" s="139"/>
    </row>
    <row r="266" spans="1:17" s="2" customFormat="1" ht="25.15" hidden="1" customHeight="1" x14ac:dyDescent="0.25">
      <c r="A266" s="139"/>
      <c r="B266" s="107"/>
      <c r="C266" s="142">
        <v>19</v>
      </c>
      <c r="D266" s="169" t="s">
        <v>331</v>
      </c>
      <c r="E266" s="170"/>
      <c r="F266" s="170"/>
      <c r="G266" s="170"/>
      <c r="H266" s="170"/>
      <c r="I266" s="25"/>
      <c r="J266" s="6"/>
      <c r="K266" s="6"/>
      <c r="L266" s="26"/>
      <c r="M266" s="6"/>
      <c r="N266" s="52"/>
      <c r="O266" s="47"/>
      <c r="Q266" s="139"/>
    </row>
    <row r="267" spans="1:17" s="2" customFormat="1" ht="25.15" hidden="1" customHeight="1" x14ac:dyDescent="0.25">
      <c r="A267" s="139"/>
      <c r="B267" s="107"/>
      <c r="C267" s="142">
        <v>20</v>
      </c>
      <c r="D267" s="169" t="s">
        <v>332</v>
      </c>
      <c r="E267" s="170"/>
      <c r="F267" s="170"/>
      <c r="G267" s="170"/>
      <c r="H267" s="170"/>
      <c r="I267" s="25"/>
      <c r="J267" s="6"/>
      <c r="K267" s="6"/>
      <c r="L267" s="26"/>
      <c r="M267" s="6"/>
      <c r="N267" s="52"/>
      <c r="O267" s="46"/>
      <c r="Q267" s="139"/>
    </row>
    <row r="268" spans="1:17" s="2" customFormat="1" ht="25.15" hidden="1" customHeight="1" x14ac:dyDescent="0.25">
      <c r="A268" s="139"/>
      <c r="B268" s="107"/>
      <c r="C268" s="142">
        <v>21</v>
      </c>
      <c r="D268" s="169" t="s">
        <v>333</v>
      </c>
      <c r="E268" s="170"/>
      <c r="F268" s="170"/>
      <c r="G268" s="170"/>
      <c r="H268" s="170"/>
      <c r="I268" s="25"/>
      <c r="J268" s="6"/>
      <c r="K268" s="6"/>
      <c r="L268" s="26"/>
      <c r="M268" s="6"/>
      <c r="N268" s="52"/>
      <c r="O268" s="46"/>
      <c r="Q268" s="139"/>
    </row>
    <row r="269" spans="1:17" s="2" customFormat="1" ht="37.9" hidden="1" customHeight="1" x14ac:dyDescent="0.25">
      <c r="A269" s="139"/>
      <c r="B269" s="107"/>
      <c r="C269" s="142">
        <v>22</v>
      </c>
      <c r="D269" s="134" t="s">
        <v>9</v>
      </c>
      <c r="E269" s="181" t="s">
        <v>334</v>
      </c>
      <c r="F269" s="182"/>
      <c r="G269" s="182"/>
      <c r="H269" s="12"/>
      <c r="I269" s="25"/>
      <c r="J269" s="6"/>
      <c r="K269" s="6"/>
      <c r="L269" s="26"/>
      <c r="M269" s="6"/>
      <c r="N269" s="52"/>
      <c r="O269" s="46"/>
      <c r="Q269" s="139"/>
    </row>
    <row r="270" spans="1:17" s="2" customFormat="1" ht="37.9" hidden="1" customHeight="1" x14ac:dyDescent="0.25">
      <c r="A270" s="139"/>
      <c r="B270" s="107"/>
      <c r="C270" s="142">
        <v>23</v>
      </c>
      <c r="D270" s="73" t="s">
        <v>12</v>
      </c>
      <c r="E270" s="136"/>
      <c r="F270" s="136"/>
      <c r="G270" s="136"/>
      <c r="H270" s="14"/>
      <c r="I270" s="28">
        <f>I263-I264+SUM(I265:I269)</f>
        <v>0</v>
      </c>
      <c r="J270" s="29"/>
      <c r="K270" s="29"/>
      <c r="L270" s="28">
        <f>L263-L264+SUM(L265:L269)</f>
        <v>0</v>
      </c>
      <c r="M270" s="6"/>
      <c r="N270" s="52"/>
      <c r="O270" s="47"/>
      <c r="Q270" s="139"/>
    </row>
    <row r="271" spans="1:17" s="2" customFormat="1" ht="29.45" hidden="1" customHeight="1" x14ac:dyDescent="0.25">
      <c r="A271" s="139"/>
      <c r="B271" s="107"/>
      <c r="C271" s="142">
        <v>24</v>
      </c>
      <c r="D271" s="102" t="s">
        <v>13</v>
      </c>
      <c r="E271" s="13"/>
      <c r="F271" s="13"/>
      <c r="G271" s="13"/>
      <c r="H271" s="14"/>
      <c r="I271" s="30" t="str">
        <f>IFERROR(I270/I262,"N/A")</f>
        <v>N/A</v>
      </c>
      <c r="J271" s="29"/>
      <c r="K271" s="29"/>
      <c r="L271" s="30" t="str">
        <f>IFERROR(L270/L262,"N/A")</f>
        <v>N/A</v>
      </c>
      <c r="M271" s="6"/>
      <c r="N271" s="52"/>
      <c r="O271" s="46"/>
      <c r="Q271" s="139"/>
    </row>
    <row r="272" spans="1:17" s="2" customFormat="1" ht="25.15" hidden="1" customHeight="1" x14ac:dyDescent="0.25">
      <c r="A272" s="139"/>
      <c r="B272" s="107"/>
      <c r="C272" s="142">
        <v>25</v>
      </c>
      <c r="D272" s="15" t="s">
        <v>340</v>
      </c>
      <c r="E272" s="12"/>
      <c r="F272" s="12"/>
      <c r="G272" s="12"/>
      <c r="H272" s="22" t="s">
        <v>15</v>
      </c>
      <c r="I272" s="27"/>
      <c r="J272" s="23" t="s">
        <v>16</v>
      </c>
      <c r="K272" s="22" t="s">
        <v>15</v>
      </c>
      <c r="L272" s="27"/>
      <c r="M272" s="23" t="s">
        <v>16</v>
      </c>
      <c r="N272" s="52"/>
      <c r="O272" s="46"/>
      <c r="Q272" s="139"/>
    </row>
    <row r="273" spans="1:17" s="2" customFormat="1" ht="29.45" hidden="1" customHeight="1" x14ac:dyDescent="0.25">
      <c r="A273" s="139"/>
      <c r="B273" s="107"/>
      <c r="C273" s="142">
        <v>26</v>
      </c>
      <c r="D273" s="103" t="s">
        <v>14</v>
      </c>
      <c r="E273" s="72"/>
      <c r="F273" s="72"/>
      <c r="G273" s="72"/>
      <c r="H273" s="21"/>
      <c r="I273" s="55" t="str">
        <f>IFERROR(I271-I272,"N/A")</f>
        <v>N/A</v>
      </c>
      <c r="J273" s="6"/>
      <c r="K273" s="6"/>
      <c r="L273" s="55" t="str">
        <f>IFERROR(L271-L272,"N/A")</f>
        <v>N/A</v>
      </c>
      <c r="M273" s="6"/>
      <c r="N273" s="52"/>
      <c r="O273" s="47"/>
      <c r="Q273" s="139"/>
    </row>
    <row r="274" spans="1:17" s="2" customFormat="1" ht="29.45" hidden="1" customHeight="1" x14ac:dyDescent="0.25">
      <c r="A274" s="139"/>
      <c r="B274" s="107"/>
      <c r="C274" s="142">
        <v>27</v>
      </c>
      <c r="D274" s="70" t="str">
        <f>"Average NET Monthly Rental Income (Loss) "&amp;IF(AND(ISNUMBER(I262),ISNUMBER(L262)),I262+L262,IF(ISNUMBER(I262),I262,IF(ISNUMBER(L262),L262,"____")))&amp;" months"</f>
        <v>Average NET Monthly Rental Income (Loss) ____ months</v>
      </c>
      <c r="E274" s="74"/>
      <c r="F274" s="74"/>
      <c r="G274" s="74"/>
      <c r="H274" s="75"/>
      <c r="I274" s="76"/>
      <c r="J274" s="168" t="str">
        <f>IF(AND(ISNUMBER(I262),ISNUMBER(L262),ISNUMBER(I273),ISNUMBER(L273)),((I262*I273)+(L262*L273))/(I262+L262),IF(AND(OR(NOT(ISNUMBER(L262)),NOT(ISNUMBER(L273))),ISNUMBER(I262),ISNUMBER(I273)),I273,IF(AND(OR(NOT(ISNUMBER(I262)),NOT(ISNUMBER(I273))),ISNUMBER(L262),ISNUMBER(L273)),L273,"N/A")))</f>
        <v>N/A</v>
      </c>
      <c r="K274" s="168"/>
      <c r="L274" s="76"/>
      <c r="M274" s="77"/>
      <c r="N274" s="78"/>
      <c r="O274" s="47"/>
      <c r="Q274" s="139"/>
    </row>
    <row r="275" spans="1:17" s="2" customFormat="1" ht="9.6" hidden="1" customHeight="1" thickBot="1" x14ac:dyDescent="0.3">
      <c r="A275" s="139"/>
      <c r="B275" s="107"/>
      <c r="C275" s="53"/>
      <c r="D275" s="7"/>
      <c r="E275" s="7"/>
      <c r="F275" s="7"/>
      <c r="G275" s="7"/>
      <c r="H275" s="7"/>
      <c r="I275" s="7"/>
      <c r="J275" s="7"/>
      <c r="K275" s="7"/>
      <c r="L275" s="7"/>
      <c r="M275" s="7"/>
      <c r="N275" s="54"/>
      <c r="O275" s="46"/>
      <c r="Q275" s="139"/>
    </row>
    <row r="276" spans="1:17" s="2" customFormat="1" ht="27" hidden="1" customHeight="1" thickBot="1" x14ac:dyDescent="0.3">
      <c r="A276" s="139"/>
      <c r="B276" s="107"/>
      <c r="C276" s="84"/>
      <c r="D276" s="82" t="s">
        <v>10</v>
      </c>
      <c r="E276" s="176"/>
      <c r="F276" s="176"/>
      <c r="G276" s="176"/>
      <c r="H276" s="176"/>
      <c r="I276" s="176"/>
      <c r="J276" s="176"/>
      <c r="K276" s="176"/>
      <c r="L276" s="177"/>
      <c r="M276" s="24" t="s">
        <v>8</v>
      </c>
      <c r="N276" s="85"/>
      <c r="O276" s="46"/>
      <c r="Q276" s="139"/>
    </row>
    <row r="277" spans="1:17" s="2" customFormat="1" ht="28.15" hidden="1" customHeight="1" x14ac:dyDescent="0.25">
      <c r="A277" s="139"/>
      <c r="B277" s="107"/>
      <c r="C277" s="83" t="s">
        <v>11</v>
      </c>
      <c r="D277" s="93"/>
      <c r="E277" s="94"/>
      <c r="F277" s="94"/>
      <c r="G277" s="95"/>
      <c r="H277" s="96"/>
      <c r="I277" s="97" t="str">
        <f>IF(ISNUMBER($I$8),$I$8,"")</f>
        <v/>
      </c>
      <c r="J277" s="94"/>
      <c r="K277" s="96"/>
      <c r="L277" s="97" t="str">
        <f>IF(ISNUMBER($L$8),$L$8,"")</f>
        <v/>
      </c>
      <c r="M277" s="98"/>
      <c r="N277" s="99"/>
      <c r="O277" s="46"/>
      <c r="Q277" s="139"/>
    </row>
    <row r="278" spans="1:17" s="19" customFormat="1" ht="4.5" hidden="1" customHeight="1" x14ac:dyDescent="0.25">
      <c r="A278" s="139"/>
      <c r="B278" s="107"/>
      <c r="C278" s="179">
        <v>15</v>
      </c>
      <c r="D278" s="16"/>
      <c r="E278" s="16"/>
      <c r="F278" s="16"/>
      <c r="G278" s="16"/>
      <c r="H278" s="17"/>
      <c r="I278" s="20"/>
      <c r="J278" s="16"/>
      <c r="K278" s="17"/>
      <c r="L278" s="20"/>
      <c r="M278" s="18"/>
      <c r="N278" s="51"/>
      <c r="O278" s="47"/>
      <c r="Q278" s="139"/>
    </row>
    <row r="279" spans="1:17" s="2" customFormat="1" ht="25.15" hidden="1" customHeight="1" x14ac:dyDescent="0.25">
      <c r="A279" s="139"/>
      <c r="B279" s="107"/>
      <c r="C279" s="179"/>
      <c r="D279" s="170" t="s">
        <v>395</v>
      </c>
      <c r="E279" s="170"/>
      <c r="F279" s="170"/>
      <c r="G279" s="170"/>
      <c r="H279" s="170"/>
      <c r="I279" s="164"/>
      <c r="J279" s="6"/>
      <c r="K279" s="6"/>
      <c r="L279" s="164"/>
      <c r="M279" s="6"/>
      <c r="N279" s="52"/>
      <c r="O279" s="46"/>
      <c r="Q279" s="139"/>
    </row>
    <row r="280" spans="1:17" s="2" customFormat="1" ht="25.15" hidden="1" customHeight="1" x14ac:dyDescent="0.25">
      <c r="A280" s="139"/>
      <c r="B280" s="107"/>
      <c r="C280" s="135">
        <v>16</v>
      </c>
      <c r="D280" s="169" t="s">
        <v>370</v>
      </c>
      <c r="E280" s="170"/>
      <c r="F280" s="170"/>
      <c r="G280" s="170"/>
      <c r="H280" s="170"/>
      <c r="I280" s="25"/>
      <c r="J280" s="6"/>
      <c r="K280" s="6"/>
      <c r="L280" s="26"/>
      <c r="M280" s="6"/>
      <c r="N280" s="52"/>
      <c r="O280" s="46"/>
      <c r="Q280" s="139"/>
    </row>
    <row r="281" spans="1:17" s="2" customFormat="1" ht="25.15" hidden="1" customHeight="1" x14ac:dyDescent="0.25">
      <c r="A281" s="139"/>
      <c r="B281" s="107"/>
      <c r="C281" s="135">
        <v>17</v>
      </c>
      <c r="D281" s="178" t="s">
        <v>371</v>
      </c>
      <c r="E281" s="169"/>
      <c r="F281" s="169"/>
      <c r="G281" s="169"/>
      <c r="H281" s="22" t="s">
        <v>15</v>
      </c>
      <c r="I281" s="25"/>
      <c r="J281" s="23" t="s">
        <v>16</v>
      </c>
      <c r="K281" s="22" t="s">
        <v>15</v>
      </c>
      <c r="L281" s="26"/>
      <c r="M281" s="23" t="s">
        <v>16</v>
      </c>
      <c r="N281" s="52"/>
      <c r="O281" s="46"/>
      <c r="Q281" s="139"/>
    </row>
    <row r="282" spans="1:17" s="2" customFormat="1" ht="25.15" hidden="1" customHeight="1" x14ac:dyDescent="0.25">
      <c r="A282" s="139"/>
      <c r="B282" s="107"/>
      <c r="C282" s="142">
        <v>18</v>
      </c>
      <c r="D282" s="169" t="s">
        <v>330</v>
      </c>
      <c r="E282" s="170"/>
      <c r="F282" s="170"/>
      <c r="G282" s="170"/>
      <c r="H282" s="170"/>
      <c r="I282" s="25"/>
      <c r="J282" s="6"/>
      <c r="K282" s="6"/>
      <c r="L282" s="26"/>
      <c r="M282" s="6"/>
      <c r="N282" s="52"/>
      <c r="O282" s="46"/>
      <c r="Q282" s="139"/>
    </row>
    <row r="283" spans="1:17" s="2" customFormat="1" ht="25.15" hidden="1" customHeight="1" x14ac:dyDescent="0.25">
      <c r="A283" s="139"/>
      <c r="B283" s="107"/>
      <c r="C283" s="142">
        <v>19</v>
      </c>
      <c r="D283" s="169" t="s">
        <v>331</v>
      </c>
      <c r="E283" s="170"/>
      <c r="F283" s="170"/>
      <c r="G283" s="170"/>
      <c r="H283" s="170"/>
      <c r="I283" s="25"/>
      <c r="J283" s="6"/>
      <c r="K283" s="6"/>
      <c r="L283" s="26"/>
      <c r="M283" s="6"/>
      <c r="N283" s="52"/>
      <c r="O283" s="47"/>
      <c r="Q283" s="139"/>
    </row>
    <row r="284" spans="1:17" s="2" customFormat="1" ht="25.15" hidden="1" customHeight="1" x14ac:dyDescent="0.25">
      <c r="A284" s="139"/>
      <c r="B284" s="107"/>
      <c r="C284" s="142">
        <v>20</v>
      </c>
      <c r="D284" s="169" t="s">
        <v>332</v>
      </c>
      <c r="E284" s="170"/>
      <c r="F284" s="170"/>
      <c r="G284" s="170"/>
      <c r="H284" s="170"/>
      <c r="I284" s="25"/>
      <c r="J284" s="6"/>
      <c r="K284" s="6"/>
      <c r="L284" s="26"/>
      <c r="M284" s="6"/>
      <c r="N284" s="52"/>
      <c r="O284" s="46"/>
      <c r="Q284" s="139"/>
    </row>
    <row r="285" spans="1:17" s="2" customFormat="1" ht="25.15" hidden="1" customHeight="1" x14ac:dyDescent="0.25">
      <c r="A285" s="139"/>
      <c r="B285" s="107"/>
      <c r="C285" s="142">
        <v>21</v>
      </c>
      <c r="D285" s="169" t="s">
        <v>333</v>
      </c>
      <c r="E285" s="170"/>
      <c r="F285" s="170"/>
      <c r="G285" s="170"/>
      <c r="H285" s="170"/>
      <c r="I285" s="25"/>
      <c r="J285" s="6"/>
      <c r="K285" s="6"/>
      <c r="L285" s="26"/>
      <c r="M285" s="6"/>
      <c r="N285" s="52"/>
      <c r="O285" s="46"/>
      <c r="Q285" s="139"/>
    </row>
    <row r="286" spans="1:17" s="2" customFormat="1" ht="37.9" hidden="1" customHeight="1" x14ac:dyDescent="0.25">
      <c r="A286" s="139"/>
      <c r="B286" s="107"/>
      <c r="C286" s="142">
        <v>22</v>
      </c>
      <c r="D286" s="134" t="s">
        <v>9</v>
      </c>
      <c r="E286" s="181" t="s">
        <v>334</v>
      </c>
      <c r="F286" s="182"/>
      <c r="G286" s="182"/>
      <c r="H286" s="12"/>
      <c r="I286" s="25"/>
      <c r="J286" s="6"/>
      <c r="K286" s="6"/>
      <c r="L286" s="26"/>
      <c r="M286" s="6"/>
      <c r="N286" s="52"/>
      <c r="O286" s="46"/>
      <c r="Q286" s="139"/>
    </row>
    <row r="287" spans="1:17" s="2" customFormat="1" ht="37.9" hidden="1" customHeight="1" x14ac:dyDescent="0.25">
      <c r="A287" s="139"/>
      <c r="B287" s="107"/>
      <c r="C287" s="142">
        <v>23</v>
      </c>
      <c r="D287" s="73" t="s">
        <v>12</v>
      </c>
      <c r="E287" s="136"/>
      <c r="F287" s="136"/>
      <c r="G287" s="136"/>
      <c r="H287" s="14"/>
      <c r="I287" s="28">
        <f>I280-I281+SUM(I282:I286)</f>
        <v>0</v>
      </c>
      <c r="J287" s="29"/>
      <c r="K287" s="29"/>
      <c r="L287" s="28">
        <f>L280-L281+SUM(L282:L286)</f>
        <v>0</v>
      </c>
      <c r="M287" s="6"/>
      <c r="N287" s="52"/>
      <c r="O287" s="47"/>
      <c r="Q287" s="139"/>
    </row>
    <row r="288" spans="1:17" s="2" customFormat="1" ht="29.45" hidden="1" customHeight="1" x14ac:dyDescent="0.25">
      <c r="A288" s="139"/>
      <c r="B288" s="107"/>
      <c r="C288" s="142">
        <v>24</v>
      </c>
      <c r="D288" s="102" t="s">
        <v>13</v>
      </c>
      <c r="E288" s="13"/>
      <c r="F288" s="13"/>
      <c r="G288" s="13"/>
      <c r="H288" s="14"/>
      <c r="I288" s="30" t="str">
        <f>IFERROR(I287/I279,"N/A")</f>
        <v>N/A</v>
      </c>
      <c r="J288" s="29"/>
      <c r="K288" s="29"/>
      <c r="L288" s="30" t="str">
        <f>IFERROR(L287/L279,"N/A")</f>
        <v>N/A</v>
      </c>
      <c r="M288" s="6"/>
      <c r="N288" s="52"/>
      <c r="O288" s="46"/>
      <c r="Q288" s="139"/>
    </row>
    <row r="289" spans="1:17" s="2" customFormat="1" ht="25.15" hidden="1" customHeight="1" x14ac:dyDescent="0.25">
      <c r="A289" s="139"/>
      <c r="B289" s="107"/>
      <c r="C289" s="142">
        <v>25</v>
      </c>
      <c r="D289" s="15" t="s">
        <v>340</v>
      </c>
      <c r="E289" s="12"/>
      <c r="F289" s="12"/>
      <c r="G289" s="12"/>
      <c r="H289" s="22" t="s">
        <v>15</v>
      </c>
      <c r="I289" s="27"/>
      <c r="J289" s="23" t="s">
        <v>16</v>
      </c>
      <c r="K289" s="22" t="s">
        <v>15</v>
      </c>
      <c r="L289" s="27"/>
      <c r="M289" s="23" t="s">
        <v>16</v>
      </c>
      <c r="N289" s="52"/>
      <c r="O289" s="46"/>
      <c r="Q289" s="139"/>
    </row>
    <row r="290" spans="1:17" s="2" customFormat="1" ht="29.45" hidden="1" customHeight="1" x14ac:dyDescent="0.25">
      <c r="A290" s="139"/>
      <c r="B290" s="107"/>
      <c r="C290" s="142">
        <v>26</v>
      </c>
      <c r="D290" s="103" t="s">
        <v>14</v>
      </c>
      <c r="E290" s="72"/>
      <c r="F290" s="72"/>
      <c r="G290" s="72"/>
      <c r="H290" s="21"/>
      <c r="I290" s="55" t="str">
        <f>IFERROR(I288-I289,"N/A")</f>
        <v>N/A</v>
      </c>
      <c r="J290" s="6"/>
      <c r="K290" s="6"/>
      <c r="L290" s="55" t="str">
        <f>IFERROR(L288-L289,"N/A")</f>
        <v>N/A</v>
      </c>
      <c r="M290" s="6"/>
      <c r="N290" s="52"/>
      <c r="O290" s="47"/>
      <c r="Q290" s="139"/>
    </row>
    <row r="291" spans="1:17" s="2" customFormat="1" ht="29.45" hidden="1" customHeight="1" x14ac:dyDescent="0.25">
      <c r="A291" s="139"/>
      <c r="B291" s="107"/>
      <c r="C291" s="142">
        <v>27</v>
      </c>
      <c r="D291" s="70" t="str">
        <f>"Average NET Monthly Rental Income (Loss) "&amp;IF(AND(ISNUMBER(I279),ISNUMBER(L279)),I279+L279,IF(ISNUMBER(I279),I279,IF(ISNUMBER(L279),L279,"____")))&amp;" months"</f>
        <v>Average NET Monthly Rental Income (Loss) ____ months</v>
      </c>
      <c r="E291" s="74"/>
      <c r="F291" s="74"/>
      <c r="G291" s="74"/>
      <c r="H291" s="75"/>
      <c r="I291" s="76"/>
      <c r="J291" s="168" t="str">
        <f>IF(AND(ISNUMBER(I279),ISNUMBER(L279),ISNUMBER(I290),ISNUMBER(L290)),((I279*I290)+(L279*L290))/(I279+L279),IF(AND(OR(NOT(ISNUMBER(L279)),NOT(ISNUMBER(L290))),ISNUMBER(I279),ISNUMBER(I290)),I290,IF(AND(OR(NOT(ISNUMBER(I279)),NOT(ISNUMBER(I290))),ISNUMBER(L279),ISNUMBER(L290)),L290,"N/A")))</f>
        <v>N/A</v>
      </c>
      <c r="K291" s="168"/>
      <c r="L291" s="76"/>
      <c r="M291" s="77"/>
      <c r="N291" s="78"/>
      <c r="O291" s="47"/>
      <c r="Q291" s="139"/>
    </row>
    <row r="292" spans="1:17" s="2" customFormat="1" ht="9.6" hidden="1" customHeight="1" thickBot="1" x14ac:dyDescent="0.3">
      <c r="A292" s="139"/>
      <c r="B292" s="107"/>
      <c r="C292" s="53"/>
      <c r="D292" s="7"/>
      <c r="E292" s="7"/>
      <c r="F292" s="7"/>
      <c r="G292" s="7"/>
      <c r="H292" s="7"/>
      <c r="I292" s="7"/>
      <c r="J292" s="7"/>
      <c r="K292" s="7"/>
      <c r="L292" s="7"/>
      <c r="M292" s="7"/>
      <c r="N292" s="54"/>
      <c r="O292" s="46"/>
      <c r="Q292" s="139"/>
    </row>
    <row r="293" spans="1:17" s="2" customFormat="1" ht="10.9" customHeight="1" thickBot="1" x14ac:dyDescent="0.3">
      <c r="A293" s="140"/>
      <c r="B293" s="107"/>
      <c r="C293" s="63"/>
      <c r="D293" s="63"/>
      <c r="E293" s="63"/>
      <c r="F293" s="63"/>
      <c r="G293" s="63"/>
      <c r="H293" s="63"/>
      <c r="I293" s="63"/>
      <c r="J293" s="63"/>
      <c r="K293" s="63"/>
      <c r="L293" s="63"/>
      <c r="M293" s="63"/>
      <c r="N293" s="63"/>
      <c r="O293" s="46"/>
      <c r="P293" s="11"/>
      <c r="Q293" s="139"/>
    </row>
    <row r="294" spans="1:17" ht="28.15" customHeight="1" thickBot="1" x14ac:dyDescent="0.3">
      <c r="B294" s="107"/>
      <c r="C294" s="35"/>
      <c r="D294" s="194" t="s">
        <v>335</v>
      </c>
      <c r="E294" s="195"/>
      <c r="F294" s="195"/>
      <c r="G294" s="195"/>
      <c r="H294" s="195"/>
      <c r="I294" s="36"/>
      <c r="J294" s="36"/>
      <c r="K294" s="36"/>
      <c r="L294" s="36"/>
      <c r="M294" s="36"/>
      <c r="N294" s="38"/>
      <c r="O294" s="45"/>
    </row>
    <row r="295" spans="1:17" ht="6" hidden="1" customHeight="1" thickBot="1" x14ac:dyDescent="0.3">
      <c r="B295" s="41"/>
      <c r="C295" s="40"/>
      <c r="D295" s="4"/>
      <c r="E295" s="4"/>
      <c r="F295" s="4"/>
      <c r="G295" s="4"/>
      <c r="H295" s="4"/>
      <c r="I295" s="4"/>
      <c r="J295" s="4"/>
      <c r="K295" s="4"/>
      <c r="L295" s="4"/>
      <c r="M295" s="4"/>
      <c r="N295" s="48"/>
      <c r="O295" s="45"/>
    </row>
    <row r="296" spans="1:17" s="2" customFormat="1" ht="27" hidden="1" customHeight="1" thickBot="1" x14ac:dyDescent="0.3">
      <c r="A296" s="139"/>
      <c r="B296" s="42"/>
      <c r="C296" s="84"/>
      <c r="D296" s="82" t="s">
        <v>10</v>
      </c>
      <c r="E296" s="176"/>
      <c r="F296" s="176"/>
      <c r="G296" s="176"/>
      <c r="H296" s="176"/>
      <c r="I296" s="176"/>
      <c r="J296" s="176"/>
      <c r="K296" s="176"/>
      <c r="L296" s="177"/>
      <c r="M296" s="24" t="s">
        <v>8</v>
      </c>
      <c r="N296" s="85"/>
      <c r="O296" s="46"/>
      <c r="Q296" s="139"/>
    </row>
    <row r="297" spans="1:17" s="2" customFormat="1" ht="28.15" hidden="1" customHeight="1" x14ac:dyDescent="0.25">
      <c r="A297" s="139"/>
      <c r="B297" s="42"/>
      <c r="C297" s="100" t="s">
        <v>11</v>
      </c>
      <c r="D297" s="93"/>
      <c r="E297" s="94"/>
      <c r="F297" s="94"/>
      <c r="G297" s="95"/>
      <c r="H297" s="96"/>
      <c r="I297" s="97"/>
      <c r="J297" s="97"/>
      <c r="K297" s="97"/>
      <c r="L297" s="101"/>
      <c r="M297" s="98"/>
      <c r="N297" s="99"/>
      <c r="O297" s="46"/>
      <c r="Q297" s="139"/>
    </row>
    <row r="298" spans="1:17" s="19" customFormat="1" ht="4.5" hidden="1" customHeight="1" x14ac:dyDescent="0.25">
      <c r="A298" s="139"/>
      <c r="B298" s="43"/>
      <c r="C298" s="179">
        <v>28</v>
      </c>
      <c r="D298" s="16"/>
      <c r="E298" s="16"/>
      <c r="F298" s="16"/>
      <c r="G298" s="16"/>
      <c r="H298" s="17"/>
      <c r="I298" s="20"/>
      <c r="J298" s="16"/>
      <c r="K298" s="17"/>
      <c r="L298" s="20"/>
      <c r="M298" s="18"/>
      <c r="N298" s="51"/>
      <c r="O298" s="47"/>
      <c r="Q298" s="139"/>
    </row>
    <row r="299" spans="1:17" s="2" customFormat="1" ht="25.15" hidden="1" customHeight="1" x14ac:dyDescent="0.25">
      <c r="A299" s="139"/>
      <c r="B299" s="42"/>
      <c r="C299" s="179"/>
      <c r="D299" s="170" t="s">
        <v>336</v>
      </c>
      <c r="E299" s="170"/>
      <c r="F299" s="170"/>
      <c r="G299" s="170"/>
      <c r="H299" s="170"/>
      <c r="I299" s="60"/>
      <c r="J299" s="183"/>
      <c r="K299" s="184"/>
      <c r="L299" s="60"/>
      <c r="M299" s="6"/>
      <c r="N299" s="52"/>
      <c r="O299" s="46"/>
      <c r="Q299" s="139"/>
    </row>
    <row r="300" spans="1:17" s="2" customFormat="1" ht="25.15" hidden="1" customHeight="1" x14ac:dyDescent="0.25">
      <c r="A300" s="139"/>
      <c r="B300" s="42"/>
      <c r="C300" s="50">
        <v>29</v>
      </c>
      <c r="D300" s="169" t="s">
        <v>337</v>
      </c>
      <c r="E300" s="170"/>
      <c r="F300" s="170"/>
      <c r="G300" s="170"/>
      <c r="H300" s="170"/>
      <c r="I300" s="61"/>
      <c r="J300" s="171">
        <f>-0.25*J299</f>
        <v>0</v>
      </c>
      <c r="K300" s="172"/>
      <c r="L300" s="62"/>
      <c r="M300" s="6"/>
      <c r="N300" s="52"/>
      <c r="O300" s="46"/>
      <c r="Q300" s="139"/>
    </row>
    <row r="301" spans="1:17" s="2" customFormat="1" ht="25.15" hidden="1" customHeight="1" x14ac:dyDescent="0.25">
      <c r="A301" s="139"/>
      <c r="B301" s="42"/>
      <c r="C301" s="50">
        <v>30</v>
      </c>
      <c r="D301" s="169" t="s">
        <v>338</v>
      </c>
      <c r="E301" s="170"/>
      <c r="F301" s="170"/>
      <c r="G301" s="170"/>
      <c r="H301" s="170"/>
      <c r="I301" s="61"/>
      <c r="J301" s="171">
        <f>J299+J300</f>
        <v>0</v>
      </c>
      <c r="K301" s="172"/>
      <c r="L301" s="62"/>
      <c r="M301" s="6"/>
      <c r="N301" s="52"/>
      <c r="O301" s="46"/>
      <c r="Q301" s="139"/>
    </row>
    <row r="302" spans="1:17" s="2" customFormat="1" ht="25.15" hidden="1" customHeight="1" x14ac:dyDescent="0.25">
      <c r="A302" s="139"/>
      <c r="B302" s="42"/>
      <c r="C302" s="142">
        <v>31</v>
      </c>
      <c r="D302" s="170" t="s">
        <v>340</v>
      </c>
      <c r="E302" s="170"/>
      <c r="F302" s="170"/>
      <c r="G302" s="170"/>
      <c r="H302" s="170"/>
      <c r="I302" s="119" t="s">
        <v>15</v>
      </c>
      <c r="J302" s="183"/>
      <c r="K302" s="184"/>
      <c r="L302" s="104" t="s">
        <v>16</v>
      </c>
      <c r="M302" s="6"/>
      <c r="N302" s="52"/>
      <c r="O302" s="46"/>
      <c r="Q302" s="139"/>
    </row>
    <row r="303" spans="1:17" s="2" customFormat="1" ht="25.15" hidden="1" customHeight="1" x14ac:dyDescent="0.25">
      <c r="A303" s="139"/>
      <c r="B303" s="42"/>
      <c r="C303" s="142">
        <v>32</v>
      </c>
      <c r="D303" s="173" t="s">
        <v>14</v>
      </c>
      <c r="E303" s="174"/>
      <c r="F303" s="174"/>
      <c r="G303" s="174"/>
      <c r="H303" s="174"/>
      <c r="I303" s="120"/>
      <c r="J303" s="175">
        <f>J301-J302</f>
        <v>0</v>
      </c>
      <c r="K303" s="172"/>
      <c r="L303" s="62"/>
      <c r="M303" s="6"/>
      <c r="N303" s="52"/>
      <c r="O303" s="46"/>
      <c r="Q303" s="139"/>
    </row>
    <row r="304" spans="1:17" ht="6" hidden="1" customHeight="1" thickBot="1" x14ac:dyDescent="0.3">
      <c r="B304" s="41"/>
      <c r="C304" s="66"/>
      <c r="D304" s="4"/>
      <c r="E304" s="4"/>
      <c r="F304" s="4"/>
      <c r="G304" s="4"/>
      <c r="H304" s="4"/>
      <c r="I304" s="4"/>
      <c r="J304" s="4"/>
      <c r="K304" s="4"/>
      <c r="L304" s="4"/>
      <c r="M304" s="4"/>
      <c r="N304" s="67"/>
      <c r="O304" s="45"/>
    </row>
    <row r="305" spans="1:17" s="2" customFormat="1" ht="27" hidden="1" customHeight="1" thickBot="1" x14ac:dyDescent="0.3">
      <c r="A305" s="139"/>
      <c r="B305" s="42"/>
      <c r="C305" s="84"/>
      <c r="D305" s="82" t="s">
        <v>10</v>
      </c>
      <c r="E305" s="176"/>
      <c r="F305" s="176"/>
      <c r="G305" s="176"/>
      <c r="H305" s="176"/>
      <c r="I305" s="176"/>
      <c r="J305" s="176"/>
      <c r="K305" s="176"/>
      <c r="L305" s="177"/>
      <c r="M305" s="24" t="s">
        <v>8</v>
      </c>
      <c r="N305" s="85"/>
      <c r="O305" s="46"/>
      <c r="Q305" s="139"/>
    </row>
    <row r="306" spans="1:17" s="2" customFormat="1" ht="28.15" hidden="1" customHeight="1" x14ac:dyDescent="0.25">
      <c r="A306" s="139"/>
      <c r="B306" s="42"/>
      <c r="C306" s="100" t="s">
        <v>11</v>
      </c>
      <c r="D306" s="93"/>
      <c r="E306" s="94"/>
      <c r="F306" s="94"/>
      <c r="G306" s="95"/>
      <c r="H306" s="96"/>
      <c r="I306" s="97"/>
      <c r="J306" s="97"/>
      <c r="K306" s="97"/>
      <c r="L306" s="101"/>
      <c r="M306" s="98"/>
      <c r="N306" s="99"/>
      <c r="O306" s="46"/>
      <c r="Q306" s="139"/>
    </row>
    <row r="307" spans="1:17" s="19" customFormat="1" ht="4.5" hidden="1" customHeight="1" x14ac:dyDescent="0.25">
      <c r="A307" s="139"/>
      <c r="B307" s="43"/>
      <c r="C307" s="179">
        <v>28</v>
      </c>
      <c r="D307" s="16"/>
      <c r="E307" s="16"/>
      <c r="F307" s="16"/>
      <c r="G307" s="16"/>
      <c r="H307" s="17"/>
      <c r="I307" s="20"/>
      <c r="J307" s="16"/>
      <c r="K307" s="17"/>
      <c r="L307" s="20"/>
      <c r="M307" s="18"/>
      <c r="N307" s="51"/>
      <c r="O307" s="47"/>
      <c r="Q307" s="139"/>
    </row>
    <row r="308" spans="1:17" s="2" customFormat="1" ht="25.15" hidden="1" customHeight="1" x14ac:dyDescent="0.25">
      <c r="A308" s="139"/>
      <c r="B308" s="42"/>
      <c r="C308" s="179"/>
      <c r="D308" s="170" t="s">
        <v>336</v>
      </c>
      <c r="E308" s="170"/>
      <c r="F308" s="170"/>
      <c r="G308" s="170"/>
      <c r="H308" s="170"/>
      <c r="I308" s="60"/>
      <c r="J308" s="183"/>
      <c r="K308" s="184"/>
      <c r="L308" s="60"/>
      <c r="M308" s="6"/>
      <c r="N308" s="52"/>
      <c r="O308" s="46"/>
      <c r="Q308" s="139"/>
    </row>
    <row r="309" spans="1:17" s="2" customFormat="1" ht="25.15" hidden="1" customHeight="1" x14ac:dyDescent="0.25">
      <c r="A309" s="139"/>
      <c r="B309" s="42"/>
      <c r="C309" s="50">
        <v>29</v>
      </c>
      <c r="D309" s="169" t="s">
        <v>337</v>
      </c>
      <c r="E309" s="170"/>
      <c r="F309" s="170"/>
      <c r="G309" s="170"/>
      <c r="H309" s="170"/>
      <c r="I309" s="61"/>
      <c r="J309" s="171">
        <f>-0.25*J308</f>
        <v>0</v>
      </c>
      <c r="K309" s="172"/>
      <c r="L309" s="62"/>
      <c r="M309" s="6"/>
      <c r="N309" s="52"/>
      <c r="O309" s="46"/>
      <c r="Q309" s="139"/>
    </row>
    <row r="310" spans="1:17" s="2" customFormat="1" ht="25.15" hidden="1" customHeight="1" x14ac:dyDescent="0.25">
      <c r="A310" s="139"/>
      <c r="B310" s="42"/>
      <c r="C310" s="50">
        <v>30</v>
      </c>
      <c r="D310" s="169" t="s">
        <v>338</v>
      </c>
      <c r="E310" s="170"/>
      <c r="F310" s="170"/>
      <c r="G310" s="170"/>
      <c r="H310" s="170"/>
      <c r="I310" s="61"/>
      <c r="J310" s="171">
        <f>J308+J309</f>
        <v>0</v>
      </c>
      <c r="K310" s="172"/>
      <c r="L310" s="62"/>
      <c r="M310" s="6"/>
      <c r="N310" s="52"/>
      <c r="O310" s="46"/>
      <c r="Q310" s="139"/>
    </row>
    <row r="311" spans="1:17" s="2" customFormat="1" ht="25.15" hidden="1" customHeight="1" x14ac:dyDescent="0.25">
      <c r="A311" s="139"/>
      <c r="B311" s="42"/>
      <c r="C311" s="142">
        <v>31</v>
      </c>
      <c r="D311" s="170" t="s">
        <v>340</v>
      </c>
      <c r="E311" s="170"/>
      <c r="F311" s="170"/>
      <c r="G311" s="170"/>
      <c r="H311" s="170"/>
      <c r="I311" s="119" t="s">
        <v>15</v>
      </c>
      <c r="J311" s="183"/>
      <c r="K311" s="184"/>
      <c r="L311" s="104" t="s">
        <v>16</v>
      </c>
      <c r="M311" s="6"/>
      <c r="N311" s="52"/>
      <c r="O311" s="46"/>
      <c r="Q311" s="139"/>
    </row>
    <row r="312" spans="1:17" s="2" customFormat="1" ht="25.15" hidden="1" customHeight="1" x14ac:dyDescent="0.25">
      <c r="A312" s="139"/>
      <c r="B312" s="42"/>
      <c r="C312" s="142">
        <v>32</v>
      </c>
      <c r="D312" s="173" t="s">
        <v>14</v>
      </c>
      <c r="E312" s="174"/>
      <c r="F312" s="174"/>
      <c r="G312" s="174"/>
      <c r="H312" s="174"/>
      <c r="I312" s="120"/>
      <c r="J312" s="175">
        <f>J310-J311</f>
        <v>0</v>
      </c>
      <c r="K312" s="172"/>
      <c r="L312" s="62"/>
      <c r="M312" s="6"/>
      <c r="N312" s="52"/>
      <c r="O312" s="46"/>
      <c r="Q312" s="139"/>
    </row>
    <row r="313" spans="1:17" ht="6" hidden="1" customHeight="1" thickBot="1" x14ac:dyDescent="0.3">
      <c r="B313" s="41"/>
      <c r="C313" s="66"/>
      <c r="D313" s="4"/>
      <c r="E313" s="4"/>
      <c r="F313" s="4"/>
      <c r="G313" s="4"/>
      <c r="H313" s="4"/>
      <c r="I313" s="4"/>
      <c r="J313" s="4"/>
      <c r="K313" s="4"/>
      <c r="L313" s="4"/>
      <c r="M313" s="4"/>
      <c r="N313" s="67"/>
      <c r="O313" s="45"/>
    </row>
    <row r="314" spans="1:17" s="2" customFormat="1" ht="27" hidden="1" customHeight="1" thickBot="1" x14ac:dyDescent="0.3">
      <c r="A314" s="139"/>
      <c r="B314" s="42"/>
      <c r="C314" s="84"/>
      <c r="D314" s="82" t="s">
        <v>10</v>
      </c>
      <c r="E314" s="176"/>
      <c r="F314" s="176"/>
      <c r="G314" s="176"/>
      <c r="H314" s="176"/>
      <c r="I314" s="176"/>
      <c r="J314" s="176"/>
      <c r="K314" s="176"/>
      <c r="L314" s="177"/>
      <c r="M314" s="24" t="s">
        <v>8</v>
      </c>
      <c r="N314" s="85"/>
      <c r="O314" s="46"/>
      <c r="Q314" s="139"/>
    </row>
    <row r="315" spans="1:17" s="2" customFormat="1" ht="28.15" hidden="1" customHeight="1" x14ac:dyDescent="0.25">
      <c r="A315" s="139"/>
      <c r="B315" s="42"/>
      <c r="C315" s="100" t="s">
        <v>11</v>
      </c>
      <c r="D315" s="93"/>
      <c r="E315" s="94"/>
      <c r="F315" s="94"/>
      <c r="G315" s="95"/>
      <c r="H315" s="96"/>
      <c r="I315" s="97"/>
      <c r="J315" s="97"/>
      <c r="K315" s="97"/>
      <c r="L315" s="101"/>
      <c r="M315" s="98"/>
      <c r="N315" s="99"/>
      <c r="O315" s="46"/>
      <c r="Q315" s="139"/>
    </row>
    <row r="316" spans="1:17" s="19" customFormat="1" ht="4.5" hidden="1" customHeight="1" x14ac:dyDescent="0.25">
      <c r="A316" s="139"/>
      <c r="B316" s="43"/>
      <c r="C316" s="179">
        <v>28</v>
      </c>
      <c r="D316" s="16"/>
      <c r="E316" s="16"/>
      <c r="F316" s="16"/>
      <c r="G316" s="16"/>
      <c r="H316" s="17"/>
      <c r="I316" s="20"/>
      <c r="J316" s="16"/>
      <c r="K316" s="17"/>
      <c r="L316" s="20"/>
      <c r="M316" s="18"/>
      <c r="N316" s="51"/>
      <c r="O316" s="47"/>
      <c r="Q316" s="139"/>
    </row>
    <row r="317" spans="1:17" s="2" customFormat="1" ht="25.15" hidden="1" customHeight="1" x14ac:dyDescent="0.25">
      <c r="A317" s="139"/>
      <c r="B317" s="42"/>
      <c r="C317" s="179"/>
      <c r="D317" s="170" t="s">
        <v>336</v>
      </c>
      <c r="E317" s="170"/>
      <c r="F317" s="170"/>
      <c r="G317" s="170"/>
      <c r="H317" s="170"/>
      <c r="I317" s="60"/>
      <c r="J317" s="183"/>
      <c r="K317" s="184"/>
      <c r="L317" s="60"/>
      <c r="M317" s="6"/>
      <c r="N317" s="52"/>
      <c r="O317" s="46"/>
      <c r="Q317" s="139"/>
    </row>
    <row r="318" spans="1:17" s="2" customFormat="1" ht="25.15" hidden="1" customHeight="1" x14ac:dyDescent="0.25">
      <c r="A318" s="139"/>
      <c r="B318" s="42"/>
      <c r="C318" s="50">
        <v>29</v>
      </c>
      <c r="D318" s="169" t="s">
        <v>337</v>
      </c>
      <c r="E318" s="170"/>
      <c r="F318" s="170"/>
      <c r="G318" s="170"/>
      <c r="H318" s="170"/>
      <c r="I318" s="61"/>
      <c r="J318" s="171">
        <f>-0.25*J317</f>
        <v>0</v>
      </c>
      <c r="K318" s="172"/>
      <c r="L318" s="62"/>
      <c r="M318" s="6"/>
      <c r="N318" s="52"/>
      <c r="O318" s="46"/>
      <c r="Q318" s="139"/>
    </row>
    <row r="319" spans="1:17" s="2" customFormat="1" ht="25.15" hidden="1" customHeight="1" x14ac:dyDescent="0.25">
      <c r="A319" s="139"/>
      <c r="B319" s="42"/>
      <c r="C319" s="50">
        <v>30</v>
      </c>
      <c r="D319" s="169" t="s">
        <v>338</v>
      </c>
      <c r="E319" s="170"/>
      <c r="F319" s="170"/>
      <c r="G319" s="170"/>
      <c r="H319" s="170"/>
      <c r="I319" s="61"/>
      <c r="J319" s="171">
        <f>J317+J318</f>
        <v>0</v>
      </c>
      <c r="K319" s="172"/>
      <c r="L319" s="62"/>
      <c r="M319" s="6"/>
      <c r="N319" s="52"/>
      <c r="O319" s="46"/>
      <c r="Q319" s="139"/>
    </row>
    <row r="320" spans="1:17" s="2" customFormat="1" ht="25.15" hidden="1" customHeight="1" x14ac:dyDescent="0.25">
      <c r="A320" s="139"/>
      <c r="B320" s="42"/>
      <c r="C320" s="142">
        <v>31</v>
      </c>
      <c r="D320" s="170" t="s">
        <v>340</v>
      </c>
      <c r="E320" s="170"/>
      <c r="F320" s="170"/>
      <c r="G320" s="170"/>
      <c r="H320" s="170"/>
      <c r="I320" s="119" t="s">
        <v>15</v>
      </c>
      <c r="J320" s="183"/>
      <c r="K320" s="184"/>
      <c r="L320" s="104" t="s">
        <v>16</v>
      </c>
      <c r="M320" s="6"/>
      <c r="N320" s="52"/>
      <c r="O320" s="46"/>
      <c r="Q320" s="139"/>
    </row>
    <row r="321" spans="1:17" s="2" customFormat="1" ht="25.15" hidden="1" customHeight="1" x14ac:dyDescent="0.25">
      <c r="A321" s="139"/>
      <c r="B321" s="42"/>
      <c r="C321" s="142">
        <v>32</v>
      </c>
      <c r="D321" s="173" t="s">
        <v>14</v>
      </c>
      <c r="E321" s="174"/>
      <c r="F321" s="174"/>
      <c r="G321" s="174"/>
      <c r="H321" s="174"/>
      <c r="I321" s="120"/>
      <c r="J321" s="175">
        <f>J319-J320</f>
        <v>0</v>
      </c>
      <c r="K321" s="172"/>
      <c r="L321" s="62"/>
      <c r="M321" s="6"/>
      <c r="N321" s="52"/>
      <c r="O321" s="46"/>
      <c r="Q321" s="139"/>
    </row>
    <row r="322" spans="1:17" ht="6" hidden="1" customHeight="1" thickBot="1" x14ac:dyDescent="0.3">
      <c r="B322" s="41"/>
      <c r="C322" s="66"/>
      <c r="D322" s="4"/>
      <c r="E322" s="4"/>
      <c r="F322" s="4"/>
      <c r="G322" s="4"/>
      <c r="H322" s="4"/>
      <c r="I322" s="4"/>
      <c r="J322" s="4"/>
      <c r="K322" s="4"/>
      <c r="L322" s="4"/>
      <c r="M322" s="4"/>
      <c r="N322" s="67"/>
      <c r="O322" s="45"/>
    </row>
    <row r="323" spans="1:17" s="2" customFormat="1" ht="27" hidden="1" customHeight="1" thickBot="1" x14ac:dyDescent="0.3">
      <c r="A323" s="139"/>
      <c r="B323" s="42"/>
      <c r="C323" s="84"/>
      <c r="D323" s="82" t="s">
        <v>10</v>
      </c>
      <c r="E323" s="176"/>
      <c r="F323" s="176"/>
      <c r="G323" s="176"/>
      <c r="H323" s="176"/>
      <c r="I323" s="176"/>
      <c r="J323" s="176"/>
      <c r="K323" s="176"/>
      <c r="L323" s="177"/>
      <c r="M323" s="24" t="s">
        <v>8</v>
      </c>
      <c r="N323" s="85"/>
      <c r="O323" s="46"/>
      <c r="Q323" s="139"/>
    </row>
    <row r="324" spans="1:17" s="2" customFormat="1" ht="28.15" hidden="1" customHeight="1" x14ac:dyDescent="0.25">
      <c r="A324" s="139"/>
      <c r="B324" s="42"/>
      <c r="C324" s="100" t="s">
        <v>11</v>
      </c>
      <c r="D324" s="93"/>
      <c r="E324" s="94"/>
      <c r="F324" s="94"/>
      <c r="G324" s="95"/>
      <c r="H324" s="96"/>
      <c r="I324" s="97"/>
      <c r="J324" s="97"/>
      <c r="K324" s="97"/>
      <c r="L324" s="101"/>
      <c r="M324" s="98"/>
      <c r="N324" s="99"/>
      <c r="O324" s="46"/>
      <c r="Q324" s="139"/>
    </row>
    <row r="325" spans="1:17" s="19" customFormat="1" ht="4.5" hidden="1" customHeight="1" x14ac:dyDescent="0.25">
      <c r="A325" s="139"/>
      <c r="B325" s="43"/>
      <c r="C325" s="179">
        <v>28</v>
      </c>
      <c r="D325" s="16"/>
      <c r="E325" s="16"/>
      <c r="F325" s="16"/>
      <c r="G325" s="16"/>
      <c r="H325" s="17"/>
      <c r="I325" s="20"/>
      <c r="J325" s="16"/>
      <c r="K325" s="17"/>
      <c r="L325" s="20"/>
      <c r="M325" s="18"/>
      <c r="N325" s="51"/>
      <c r="O325" s="47"/>
      <c r="Q325" s="139"/>
    </row>
    <row r="326" spans="1:17" s="2" customFormat="1" ht="25.15" hidden="1" customHeight="1" x14ac:dyDescent="0.25">
      <c r="A326" s="139"/>
      <c r="B326" s="42"/>
      <c r="C326" s="179"/>
      <c r="D326" s="170" t="s">
        <v>336</v>
      </c>
      <c r="E326" s="170"/>
      <c r="F326" s="170"/>
      <c r="G326" s="170"/>
      <c r="H326" s="170"/>
      <c r="I326" s="60"/>
      <c r="J326" s="183"/>
      <c r="K326" s="184"/>
      <c r="L326" s="60"/>
      <c r="M326" s="6"/>
      <c r="N326" s="52"/>
      <c r="O326" s="46"/>
      <c r="Q326" s="139"/>
    </row>
    <row r="327" spans="1:17" s="2" customFormat="1" ht="25.15" hidden="1" customHeight="1" x14ac:dyDescent="0.25">
      <c r="A327" s="139"/>
      <c r="B327" s="42"/>
      <c r="C327" s="50">
        <v>29</v>
      </c>
      <c r="D327" s="169" t="s">
        <v>337</v>
      </c>
      <c r="E327" s="170"/>
      <c r="F327" s="170"/>
      <c r="G327" s="170"/>
      <c r="H327" s="170"/>
      <c r="I327" s="61"/>
      <c r="J327" s="171">
        <f>-0.25*J326</f>
        <v>0</v>
      </c>
      <c r="K327" s="172"/>
      <c r="L327" s="62"/>
      <c r="M327" s="6"/>
      <c r="N327" s="52"/>
      <c r="O327" s="46"/>
      <c r="Q327" s="139"/>
    </row>
    <row r="328" spans="1:17" s="2" customFormat="1" ht="25.15" hidden="1" customHeight="1" x14ac:dyDescent="0.25">
      <c r="A328" s="139"/>
      <c r="B328" s="42"/>
      <c r="C328" s="50">
        <v>30</v>
      </c>
      <c r="D328" s="169" t="s">
        <v>338</v>
      </c>
      <c r="E328" s="170"/>
      <c r="F328" s="170"/>
      <c r="G328" s="170"/>
      <c r="H328" s="170"/>
      <c r="I328" s="61"/>
      <c r="J328" s="171">
        <f>J326+J327</f>
        <v>0</v>
      </c>
      <c r="K328" s="172"/>
      <c r="L328" s="62"/>
      <c r="M328" s="6"/>
      <c r="N328" s="52"/>
      <c r="O328" s="46"/>
      <c r="Q328" s="139"/>
    </row>
    <row r="329" spans="1:17" s="2" customFormat="1" ht="25.15" hidden="1" customHeight="1" x14ac:dyDescent="0.25">
      <c r="A329" s="139"/>
      <c r="B329" s="42"/>
      <c r="C329" s="142">
        <v>31</v>
      </c>
      <c r="D329" s="170" t="s">
        <v>340</v>
      </c>
      <c r="E329" s="170"/>
      <c r="F329" s="170"/>
      <c r="G329" s="170"/>
      <c r="H329" s="170"/>
      <c r="I329" s="119" t="s">
        <v>15</v>
      </c>
      <c r="J329" s="183"/>
      <c r="K329" s="184"/>
      <c r="L329" s="104" t="s">
        <v>16</v>
      </c>
      <c r="M329" s="6"/>
      <c r="N329" s="52"/>
      <c r="O329" s="46"/>
      <c r="Q329" s="139"/>
    </row>
    <row r="330" spans="1:17" s="2" customFormat="1" ht="25.15" hidden="1" customHeight="1" x14ac:dyDescent="0.25">
      <c r="A330" s="139"/>
      <c r="B330" s="42"/>
      <c r="C330" s="142">
        <v>32</v>
      </c>
      <c r="D330" s="173" t="s">
        <v>14</v>
      </c>
      <c r="E330" s="174"/>
      <c r="F330" s="174"/>
      <c r="G330" s="174"/>
      <c r="H330" s="174"/>
      <c r="I330" s="120"/>
      <c r="J330" s="175">
        <f>J328-J329</f>
        <v>0</v>
      </c>
      <c r="K330" s="172"/>
      <c r="L330" s="62"/>
      <c r="M330" s="6"/>
      <c r="N330" s="52"/>
      <c r="O330" s="46"/>
      <c r="Q330" s="139"/>
    </row>
    <row r="331" spans="1:17" ht="6" hidden="1" customHeight="1" thickBot="1" x14ac:dyDescent="0.3">
      <c r="B331" s="41"/>
      <c r="C331" s="66"/>
      <c r="D331" s="4"/>
      <c r="E331" s="4"/>
      <c r="F331" s="4"/>
      <c r="G331" s="4"/>
      <c r="H331" s="4"/>
      <c r="I331" s="4"/>
      <c r="J331" s="4"/>
      <c r="K331" s="4"/>
      <c r="L331" s="4"/>
      <c r="M331" s="4"/>
      <c r="N331" s="67"/>
      <c r="O331" s="45"/>
    </row>
    <row r="332" spans="1:17" s="2" customFormat="1" ht="27" hidden="1" customHeight="1" thickBot="1" x14ac:dyDescent="0.3">
      <c r="A332" s="139"/>
      <c r="B332" s="42"/>
      <c r="C332" s="84"/>
      <c r="D332" s="82" t="s">
        <v>10</v>
      </c>
      <c r="E332" s="176"/>
      <c r="F332" s="176"/>
      <c r="G332" s="176"/>
      <c r="H332" s="176"/>
      <c r="I332" s="176"/>
      <c r="J332" s="176"/>
      <c r="K332" s="176"/>
      <c r="L332" s="177"/>
      <c r="M332" s="24" t="s">
        <v>8</v>
      </c>
      <c r="N332" s="85"/>
      <c r="O332" s="46"/>
      <c r="Q332" s="139"/>
    </row>
    <row r="333" spans="1:17" s="2" customFormat="1" ht="28.15" hidden="1" customHeight="1" x14ac:dyDescent="0.25">
      <c r="A333" s="139"/>
      <c r="B333" s="42"/>
      <c r="C333" s="100" t="s">
        <v>11</v>
      </c>
      <c r="D333" s="93"/>
      <c r="E333" s="94"/>
      <c r="F333" s="94"/>
      <c r="G333" s="95"/>
      <c r="H333" s="96"/>
      <c r="I333" s="97"/>
      <c r="J333" s="97"/>
      <c r="K333" s="97"/>
      <c r="L333" s="101"/>
      <c r="M333" s="98"/>
      <c r="N333" s="99"/>
      <c r="O333" s="46"/>
      <c r="Q333" s="139"/>
    </row>
    <row r="334" spans="1:17" s="19" customFormat="1" ht="4.5" hidden="1" customHeight="1" x14ac:dyDescent="0.25">
      <c r="A334" s="139"/>
      <c r="B334" s="43"/>
      <c r="C334" s="179">
        <v>28</v>
      </c>
      <c r="D334" s="16"/>
      <c r="E334" s="16"/>
      <c r="F334" s="16"/>
      <c r="G334" s="16"/>
      <c r="H334" s="17"/>
      <c r="I334" s="20"/>
      <c r="J334" s="16"/>
      <c r="K334" s="17"/>
      <c r="L334" s="20"/>
      <c r="M334" s="18"/>
      <c r="N334" s="51"/>
      <c r="O334" s="47"/>
      <c r="Q334" s="139"/>
    </row>
    <row r="335" spans="1:17" s="2" customFormat="1" ht="25.15" hidden="1" customHeight="1" x14ac:dyDescent="0.25">
      <c r="A335" s="139"/>
      <c r="B335" s="42"/>
      <c r="C335" s="179"/>
      <c r="D335" s="170" t="s">
        <v>336</v>
      </c>
      <c r="E335" s="170"/>
      <c r="F335" s="170"/>
      <c r="G335" s="170"/>
      <c r="H335" s="170"/>
      <c r="I335" s="60"/>
      <c r="J335" s="183"/>
      <c r="K335" s="184"/>
      <c r="L335" s="60"/>
      <c r="M335" s="6"/>
      <c r="N335" s="52"/>
      <c r="O335" s="46"/>
      <c r="Q335" s="139"/>
    </row>
    <row r="336" spans="1:17" s="2" customFormat="1" ht="25.15" hidden="1" customHeight="1" x14ac:dyDescent="0.25">
      <c r="A336" s="139"/>
      <c r="B336" s="42"/>
      <c r="C336" s="50">
        <v>29</v>
      </c>
      <c r="D336" s="169" t="s">
        <v>337</v>
      </c>
      <c r="E336" s="170"/>
      <c r="F336" s="170"/>
      <c r="G336" s="170"/>
      <c r="H336" s="170"/>
      <c r="I336" s="61"/>
      <c r="J336" s="171">
        <f>-0.25*J335</f>
        <v>0</v>
      </c>
      <c r="K336" s="172"/>
      <c r="L336" s="62"/>
      <c r="M336" s="6"/>
      <c r="N336" s="52"/>
      <c r="O336" s="46"/>
      <c r="Q336" s="139"/>
    </row>
    <row r="337" spans="1:17" s="2" customFormat="1" ht="25.15" hidden="1" customHeight="1" x14ac:dyDescent="0.25">
      <c r="A337" s="139"/>
      <c r="B337" s="42"/>
      <c r="C337" s="50">
        <v>30</v>
      </c>
      <c r="D337" s="169" t="s">
        <v>338</v>
      </c>
      <c r="E337" s="170"/>
      <c r="F337" s="170"/>
      <c r="G337" s="170"/>
      <c r="H337" s="170"/>
      <c r="I337" s="61"/>
      <c r="J337" s="171">
        <f>J335+J336</f>
        <v>0</v>
      </c>
      <c r="K337" s="172"/>
      <c r="L337" s="62"/>
      <c r="M337" s="6"/>
      <c r="N337" s="52"/>
      <c r="O337" s="46"/>
      <c r="Q337" s="139"/>
    </row>
    <row r="338" spans="1:17" s="2" customFormat="1" ht="25.15" hidden="1" customHeight="1" x14ac:dyDescent="0.25">
      <c r="A338" s="139"/>
      <c r="B338" s="42"/>
      <c r="C338" s="142">
        <v>31</v>
      </c>
      <c r="D338" s="170" t="s">
        <v>340</v>
      </c>
      <c r="E338" s="170"/>
      <c r="F338" s="170"/>
      <c r="G338" s="170"/>
      <c r="H338" s="170"/>
      <c r="I338" s="119" t="s">
        <v>15</v>
      </c>
      <c r="J338" s="183"/>
      <c r="K338" s="184"/>
      <c r="L338" s="104" t="s">
        <v>16</v>
      </c>
      <c r="M338" s="6"/>
      <c r="N338" s="52"/>
      <c r="O338" s="46"/>
      <c r="Q338" s="139"/>
    </row>
    <row r="339" spans="1:17" s="2" customFormat="1" ht="25.15" hidden="1" customHeight="1" x14ac:dyDescent="0.25">
      <c r="A339" s="139"/>
      <c r="B339" s="42"/>
      <c r="C339" s="142">
        <v>32</v>
      </c>
      <c r="D339" s="173" t="s">
        <v>14</v>
      </c>
      <c r="E339" s="174"/>
      <c r="F339" s="174"/>
      <c r="G339" s="174"/>
      <c r="H339" s="174"/>
      <c r="I339" s="120"/>
      <c r="J339" s="175">
        <f>J337-J338</f>
        <v>0</v>
      </c>
      <c r="K339" s="172"/>
      <c r="L339" s="62"/>
      <c r="M339" s="6"/>
      <c r="N339" s="52"/>
      <c r="O339" s="46"/>
      <c r="Q339" s="139"/>
    </row>
    <row r="340" spans="1:17" ht="6" hidden="1" customHeight="1" thickBot="1" x14ac:dyDescent="0.3">
      <c r="B340" s="41"/>
      <c r="C340" s="66"/>
      <c r="D340" s="4"/>
      <c r="E340" s="4"/>
      <c r="F340" s="4"/>
      <c r="G340" s="4"/>
      <c r="H340" s="4"/>
      <c r="I340" s="4"/>
      <c r="J340" s="4"/>
      <c r="K340" s="4"/>
      <c r="L340" s="4"/>
      <c r="M340" s="4"/>
      <c r="N340" s="67"/>
      <c r="O340" s="45"/>
    </row>
    <row r="341" spans="1:17" s="2" customFormat="1" ht="27" hidden="1" customHeight="1" thickBot="1" x14ac:dyDescent="0.3">
      <c r="A341" s="139"/>
      <c r="B341" s="42"/>
      <c r="C341" s="84"/>
      <c r="D341" s="82" t="s">
        <v>10</v>
      </c>
      <c r="E341" s="176"/>
      <c r="F341" s="176"/>
      <c r="G341" s="176"/>
      <c r="H341" s="176"/>
      <c r="I341" s="176"/>
      <c r="J341" s="176"/>
      <c r="K341" s="176"/>
      <c r="L341" s="177"/>
      <c r="M341" s="24" t="s">
        <v>8</v>
      </c>
      <c r="N341" s="85"/>
      <c r="O341" s="46"/>
      <c r="Q341" s="139"/>
    </row>
    <row r="342" spans="1:17" s="2" customFormat="1" ht="28.15" hidden="1" customHeight="1" x14ac:dyDescent="0.25">
      <c r="A342" s="139"/>
      <c r="B342" s="42"/>
      <c r="C342" s="100" t="s">
        <v>11</v>
      </c>
      <c r="D342" s="93"/>
      <c r="E342" s="94"/>
      <c r="F342" s="94"/>
      <c r="G342" s="95"/>
      <c r="H342" s="96"/>
      <c r="I342" s="97"/>
      <c r="J342" s="97"/>
      <c r="K342" s="97"/>
      <c r="L342" s="101"/>
      <c r="M342" s="98"/>
      <c r="N342" s="99"/>
      <c r="O342" s="46"/>
      <c r="Q342" s="139"/>
    </row>
    <row r="343" spans="1:17" s="19" customFormat="1" ht="4.5" hidden="1" customHeight="1" x14ac:dyDescent="0.25">
      <c r="A343" s="139"/>
      <c r="B343" s="43"/>
      <c r="C343" s="179">
        <v>28</v>
      </c>
      <c r="D343" s="16"/>
      <c r="E343" s="16"/>
      <c r="F343" s="16"/>
      <c r="G343" s="16"/>
      <c r="H343" s="17"/>
      <c r="I343" s="20"/>
      <c r="J343" s="16"/>
      <c r="K343" s="17"/>
      <c r="L343" s="20"/>
      <c r="M343" s="18"/>
      <c r="N343" s="51"/>
      <c r="O343" s="47"/>
      <c r="Q343" s="139"/>
    </row>
    <row r="344" spans="1:17" s="2" customFormat="1" ht="25.15" hidden="1" customHeight="1" x14ac:dyDescent="0.25">
      <c r="A344" s="139"/>
      <c r="B344" s="42"/>
      <c r="C344" s="179"/>
      <c r="D344" s="170" t="s">
        <v>336</v>
      </c>
      <c r="E344" s="170"/>
      <c r="F344" s="170"/>
      <c r="G344" s="170"/>
      <c r="H344" s="170"/>
      <c r="I344" s="60"/>
      <c r="J344" s="183"/>
      <c r="K344" s="184"/>
      <c r="L344" s="60"/>
      <c r="M344" s="6"/>
      <c r="N344" s="52"/>
      <c r="O344" s="46"/>
      <c r="Q344" s="139"/>
    </row>
    <row r="345" spans="1:17" s="2" customFormat="1" ht="25.15" hidden="1" customHeight="1" x14ac:dyDescent="0.25">
      <c r="A345" s="139"/>
      <c r="B345" s="42"/>
      <c r="C345" s="50">
        <v>29</v>
      </c>
      <c r="D345" s="169" t="s">
        <v>337</v>
      </c>
      <c r="E345" s="170"/>
      <c r="F345" s="170"/>
      <c r="G345" s="170"/>
      <c r="H345" s="170"/>
      <c r="I345" s="61"/>
      <c r="J345" s="171">
        <f>-0.25*J344</f>
        <v>0</v>
      </c>
      <c r="K345" s="172"/>
      <c r="L345" s="62"/>
      <c r="M345" s="6"/>
      <c r="N345" s="52"/>
      <c r="O345" s="46"/>
      <c r="Q345" s="139"/>
    </row>
    <row r="346" spans="1:17" s="2" customFormat="1" ht="25.15" hidden="1" customHeight="1" x14ac:dyDescent="0.25">
      <c r="A346" s="139"/>
      <c r="B346" s="42"/>
      <c r="C346" s="50">
        <v>30</v>
      </c>
      <c r="D346" s="169" t="s">
        <v>338</v>
      </c>
      <c r="E346" s="170"/>
      <c r="F346" s="170"/>
      <c r="G346" s="170"/>
      <c r="H346" s="170"/>
      <c r="I346" s="61"/>
      <c r="J346" s="171">
        <f>J344+J345</f>
        <v>0</v>
      </c>
      <c r="K346" s="172"/>
      <c r="L346" s="62"/>
      <c r="M346" s="6"/>
      <c r="N346" s="52"/>
      <c r="O346" s="46"/>
      <c r="Q346" s="139"/>
    </row>
    <row r="347" spans="1:17" s="2" customFormat="1" ht="25.15" hidden="1" customHeight="1" x14ac:dyDescent="0.25">
      <c r="A347" s="139"/>
      <c r="B347" s="42"/>
      <c r="C347" s="142">
        <v>31</v>
      </c>
      <c r="D347" s="170" t="s">
        <v>340</v>
      </c>
      <c r="E347" s="170"/>
      <c r="F347" s="170"/>
      <c r="G347" s="170"/>
      <c r="H347" s="170"/>
      <c r="I347" s="119" t="s">
        <v>15</v>
      </c>
      <c r="J347" s="183"/>
      <c r="K347" s="184"/>
      <c r="L347" s="104" t="s">
        <v>16</v>
      </c>
      <c r="M347" s="6"/>
      <c r="N347" s="52"/>
      <c r="O347" s="46"/>
      <c r="Q347" s="139"/>
    </row>
    <row r="348" spans="1:17" s="2" customFormat="1" ht="25.15" hidden="1" customHeight="1" x14ac:dyDescent="0.25">
      <c r="A348" s="139"/>
      <c r="B348" s="42"/>
      <c r="C348" s="142">
        <v>32</v>
      </c>
      <c r="D348" s="173" t="s">
        <v>14</v>
      </c>
      <c r="E348" s="174"/>
      <c r="F348" s="174"/>
      <c r="G348" s="174"/>
      <c r="H348" s="174"/>
      <c r="I348" s="120"/>
      <c r="J348" s="175">
        <f>J346-J347</f>
        <v>0</v>
      </c>
      <c r="K348" s="172"/>
      <c r="L348" s="62"/>
      <c r="M348" s="6"/>
      <c r="N348" s="52"/>
      <c r="O348" s="46"/>
      <c r="Q348" s="139"/>
    </row>
    <row r="349" spans="1:17" ht="6" hidden="1" customHeight="1" thickBot="1" x14ac:dyDescent="0.3">
      <c r="B349" s="41"/>
      <c r="C349" s="66"/>
      <c r="D349" s="4"/>
      <c r="E349" s="4"/>
      <c r="F349" s="4"/>
      <c r="G349" s="4"/>
      <c r="H349" s="4"/>
      <c r="I349" s="4"/>
      <c r="J349" s="4"/>
      <c r="K349" s="4"/>
      <c r="L349" s="4"/>
      <c r="M349" s="4"/>
      <c r="N349" s="67"/>
      <c r="O349" s="45"/>
    </row>
    <row r="350" spans="1:17" s="2" customFormat="1" ht="27" hidden="1" customHeight="1" thickBot="1" x14ac:dyDescent="0.3">
      <c r="A350" s="139"/>
      <c r="B350" s="42"/>
      <c r="C350" s="84"/>
      <c r="D350" s="82" t="s">
        <v>10</v>
      </c>
      <c r="E350" s="176"/>
      <c r="F350" s="176"/>
      <c r="G350" s="176"/>
      <c r="H350" s="176"/>
      <c r="I350" s="176"/>
      <c r="J350" s="176"/>
      <c r="K350" s="176"/>
      <c r="L350" s="177"/>
      <c r="M350" s="24" t="s">
        <v>8</v>
      </c>
      <c r="N350" s="85"/>
      <c r="O350" s="46"/>
      <c r="Q350" s="139"/>
    </row>
    <row r="351" spans="1:17" s="2" customFormat="1" ht="28.15" hidden="1" customHeight="1" x14ac:dyDescent="0.25">
      <c r="A351" s="139"/>
      <c r="B351" s="42"/>
      <c r="C351" s="100" t="s">
        <v>11</v>
      </c>
      <c r="D351" s="93"/>
      <c r="E351" s="94"/>
      <c r="F351" s="94"/>
      <c r="G351" s="95"/>
      <c r="H351" s="96"/>
      <c r="I351" s="97"/>
      <c r="J351" s="97"/>
      <c r="K351" s="97"/>
      <c r="L351" s="101"/>
      <c r="M351" s="98"/>
      <c r="N351" s="99"/>
      <c r="O351" s="46"/>
      <c r="Q351" s="139"/>
    </row>
    <row r="352" spans="1:17" s="19" customFormat="1" ht="4.5" hidden="1" customHeight="1" x14ac:dyDescent="0.25">
      <c r="A352" s="139"/>
      <c r="B352" s="43"/>
      <c r="C352" s="179">
        <v>28</v>
      </c>
      <c r="D352" s="16"/>
      <c r="E352" s="16"/>
      <c r="F352" s="16"/>
      <c r="G352" s="16"/>
      <c r="H352" s="17"/>
      <c r="I352" s="20"/>
      <c r="J352" s="16"/>
      <c r="K352" s="17"/>
      <c r="L352" s="20"/>
      <c r="M352" s="18"/>
      <c r="N352" s="51"/>
      <c r="O352" s="47"/>
      <c r="Q352" s="139"/>
    </row>
    <row r="353" spans="1:17" s="2" customFormat="1" ht="25.15" hidden="1" customHeight="1" x14ac:dyDescent="0.25">
      <c r="A353" s="139"/>
      <c r="B353" s="42"/>
      <c r="C353" s="179"/>
      <c r="D353" s="170" t="s">
        <v>336</v>
      </c>
      <c r="E353" s="170"/>
      <c r="F353" s="170"/>
      <c r="G353" s="170"/>
      <c r="H353" s="170"/>
      <c r="I353" s="60"/>
      <c r="J353" s="183"/>
      <c r="K353" s="184"/>
      <c r="L353" s="60"/>
      <c r="M353" s="6"/>
      <c r="N353" s="52"/>
      <c r="O353" s="46"/>
      <c r="Q353" s="139"/>
    </row>
    <row r="354" spans="1:17" s="2" customFormat="1" ht="25.15" hidden="1" customHeight="1" x14ac:dyDescent="0.25">
      <c r="A354" s="139"/>
      <c r="B354" s="42"/>
      <c r="C354" s="50">
        <v>29</v>
      </c>
      <c r="D354" s="169" t="s">
        <v>337</v>
      </c>
      <c r="E354" s="170"/>
      <c r="F354" s="170"/>
      <c r="G354" s="170"/>
      <c r="H354" s="170"/>
      <c r="I354" s="61"/>
      <c r="J354" s="171">
        <f>-0.25*J353</f>
        <v>0</v>
      </c>
      <c r="K354" s="172"/>
      <c r="L354" s="62"/>
      <c r="M354" s="6"/>
      <c r="N354" s="52"/>
      <c r="O354" s="46"/>
      <c r="Q354" s="139"/>
    </row>
    <row r="355" spans="1:17" s="2" customFormat="1" ht="25.15" hidden="1" customHeight="1" x14ac:dyDescent="0.25">
      <c r="A355" s="139"/>
      <c r="B355" s="42"/>
      <c r="C355" s="50">
        <v>30</v>
      </c>
      <c r="D355" s="169" t="s">
        <v>338</v>
      </c>
      <c r="E355" s="170"/>
      <c r="F355" s="170"/>
      <c r="G355" s="170"/>
      <c r="H355" s="170"/>
      <c r="I355" s="61"/>
      <c r="J355" s="171">
        <f>J353+J354</f>
        <v>0</v>
      </c>
      <c r="K355" s="172"/>
      <c r="L355" s="62"/>
      <c r="M355" s="6"/>
      <c r="N355" s="52"/>
      <c r="O355" s="46"/>
      <c r="Q355" s="139"/>
    </row>
    <row r="356" spans="1:17" s="2" customFormat="1" ht="25.15" hidden="1" customHeight="1" x14ac:dyDescent="0.25">
      <c r="A356" s="139"/>
      <c r="B356" s="42"/>
      <c r="C356" s="142">
        <v>31</v>
      </c>
      <c r="D356" s="170" t="s">
        <v>340</v>
      </c>
      <c r="E356" s="170"/>
      <c r="F356" s="170"/>
      <c r="G356" s="170"/>
      <c r="H356" s="170"/>
      <c r="I356" s="119" t="s">
        <v>15</v>
      </c>
      <c r="J356" s="183"/>
      <c r="K356" s="184"/>
      <c r="L356" s="104" t="s">
        <v>16</v>
      </c>
      <c r="M356" s="6"/>
      <c r="N356" s="52"/>
      <c r="O356" s="46"/>
      <c r="Q356" s="139"/>
    </row>
    <row r="357" spans="1:17" s="2" customFormat="1" ht="25.15" hidden="1" customHeight="1" x14ac:dyDescent="0.25">
      <c r="A357" s="139"/>
      <c r="B357" s="42"/>
      <c r="C357" s="142">
        <v>32</v>
      </c>
      <c r="D357" s="173" t="s">
        <v>14</v>
      </c>
      <c r="E357" s="174"/>
      <c r="F357" s="174"/>
      <c r="G357" s="174"/>
      <c r="H357" s="174"/>
      <c r="I357" s="120"/>
      <c r="J357" s="175">
        <f>J355-J356</f>
        <v>0</v>
      </c>
      <c r="K357" s="172"/>
      <c r="L357" s="62"/>
      <c r="M357" s="6"/>
      <c r="N357" s="52"/>
      <c r="O357" s="46"/>
      <c r="Q357" s="139"/>
    </row>
    <row r="358" spans="1:17" ht="6" hidden="1" customHeight="1" thickBot="1" x14ac:dyDescent="0.3">
      <c r="B358" s="41"/>
      <c r="C358" s="66"/>
      <c r="D358" s="4"/>
      <c r="E358" s="4"/>
      <c r="F358" s="4"/>
      <c r="G358" s="4"/>
      <c r="H358" s="4"/>
      <c r="I358" s="4"/>
      <c r="J358" s="4"/>
      <c r="K358" s="4"/>
      <c r="L358" s="4"/>
      <c r="M358" s="4"/>
      <c r="N358" s="67"/>
      <c r="O358" s="45"/>
    </row>
    <row r="359" spans="1:17" s="2" customFormat="1" ht="27" hidden="1" customHeight="1" thickBot="1" x14ac:dyDescent="0.3">
      <c r="A359" s="139"/>
      <c r="B359" s="42"/>
      <c r="C359" s="84"/>
      <c r="D359" s="82" t="s">
        <v>10</v>
      </c>
      <c r="E359" s="176"/>
      <c r="F359" s="176"/>
      <c r="G359" s="176"/>
      <c r="H359" s="176"/>
      <c r="I359" s="176"/>
      <c r="J359" s="176"/>
      <c r="K359" s="176"/>
      <c r="L359" s="177"/>
      <c r="M359" s="24" t="s">
        <v>8</v>
      </c>
      <c r="N359" s="85"/>
      <c r="O359" s="46"/>
      <c r="Q359" s="139"/>
    </row>
    <row r="360" spans="1:17" s="2" customFormat="1" ht="28.15" hidden="1" customHeight="1" x14ac:dyDescent="0.25">
      <c r="A360" s="139"/>
      <c r="B360" s="42"/>
      <c r="C360" s="100" t="s">
        <v>11</v>
      </c>
      <c r="D360" s="93"/>
      <c r="E360" s="94"/>
      <c r="F360" s="94"/>
      <c r="G360" s="95"/>
      <c r="H360" s="96"/>
      <c r="I360" s="97"/>
      <c r="J360" s="97"/>
      <c r="K360" s="97"/>
      <c r="L360" s="101"/>
      <c r="M360" s="98"/>
      <c r="N360" s="99"/>
      <c r="O360" s="46"/>
      <c r="Q360" s="139"/>
    </row>
    <row r="361" spans="1:17" s="19" customFormat="1" ht="4.5" hidden="1" customHeight="1" x14ac:dyDescent="0.25">
      <c r="A361" s="139"/>
      <c r="B361" s="43"/>
      <c r="C361" s="179">
        <v>28</v>
      </c>
      <c r="D361" s="16"/>
      <c r="E361" s="16"/>
      <c r="F361" s="16"/>
      <c r="G361" s="16"/>
      <c r="H361" s="17"/>
      <c r="I361" s="20"/>
      <c r="J361" s="16"/>
      <c r="K361" s="17"/>
      <c r="L361" s="20"/>
      <c r="M361" s="18"/>
      <c r="N361" s="51"/>
      <c r="O361" s="47"/>
      <c r="Q361" s="139"/>
    </row>
    <row r="362" spans="1:17" s="2" customFormat="1" ht="25.15" hidden="1" customHeight="1" x14ac:dyDescent="0.25">
      <c r="A362" s="139"/>
      <c r="B362" s="42"/>
      <c r="C362" s="179"/>
      <c r="D362" s="170" t="s">
        <v>336</v>
      </c>
      <c r="E362" s="170"/>
      <c r="F362" s="170"/>
      <c r="G362" s="170"/>
      <c r="H362" s="170"/>
      <c r="I362" s="60"/>
      <c r="J362" s="183"/>
      <c r="K362" s="184"/>
      <c r="L362" s="60"/>
      <c r="M362" s="6"/>
      <c r="N362" s="52"/>
      <c r="O362" s="46"/>
      <c r="Q362" s="139"/>
    </row>
    <row r="363" spans="1:17" s="2" customFormat="1" ht="25.15" hidden="1" customHeight="1" x14ac:dyDescent="0.25">
      <c r="A363" s="139"/>
      <c r="B363" s="42"/>
      <c r="C363" s="50">
        <v>29</v>
      </c>
      <c r="D363" s="169" t="s">
        <v>337</v>
      </c>
      <c r="E363" s="170"/>
      <c r="F363" s="170"/>
      <c r="G363" s="170"/>
      <c r="H363" s="170"/>
      <c r="I363" s="61"/>
      <c r="J363" s="171">
        <f>-0.25*J362</f>
        <v>0</v>
      </c>
      <c r="K363" s="172"/>
      <c r="L363" s="62"/>
      <c r="M363" s="6"/>
      <c r="N363" s="52"/>
      <c r="O363" s="46"/>
      <c r="Q363" s="139"/>
    </row>
    <row r="364" spans="1:17" s="2" customFormat="1" ht="25.15" hidden="1" customHeight="1" x14ac:dyDescent="0.25">
      <c r="A364" s="139"/>
      <c r="B364" s="42"/>
      <c r="C364" s="50">
        <v>30</v>
      </c>
      <c r="D364" s="169" t="s">
        <v>338</v>
      </c>
      <c r="E364" s="170"/>
      <c r="F364" s="170"/>
      <c r="G364" s="170"/>
      <c r="H364" s="170"/>
      <c r="I364" s="61"/>
      <c r="J364" s="171">
        <f>J362+J363</f>
        <v>0</v>
      </c>
      <c r="K364" s="172"/>
      <c r="L364" s="62"/>
      <c r="M364" s="6"/>
      <c r="N364" s="52"/>
      <c r="O364" s="46"/>
      <c r="Q364" s="139"/>
    </row>
    <row r="365" spans="1:17" s="2" customFormat="1" ht="25.15" hidden="1" customHeight="1" x14ac:dyDescent="0.25">
      <c r="A365" s="139"/>
      <c r="B365" s="42"/>
      <c r="C365" s="142">
        <v>31</v>
      </c>
      <c r="D365" s="170" t="s">
        <v>340</v>
      </c>
      <c r="E365" s="170"/>
      <c r="F365" s="170"/>
      <c r="G365" s="170"/>
      <c r="H365" s="170"/>
      <c r="I365" s="119" t="s">
        <v>15</v>
      </c>
      <c r="J365" s="183"/>
      <c r="K365" s="184"/>
      <c r="L365" s="104" t="s">
        <v>16</v>
      </c>
      <c r="M365" s="6"/>
      <c r="N365" s="52"/>
      <c r="O365" s="46"/>
      <c r="Q365" s="139"/>
    </row>
    <row r="366" spans="1:17" s="2" customFormat="1" ht="25.15" hidden="1" customHeight="1" x14ac:dyDescent="0.25">
      <c r="A366" s="139"/>
      <c r="B366" s="42"/>
      <c r="C366" s="142">
        <v>32</v>
      </c>
      <c r="D366" s="173" t="s">
        <v>14</v>
      </c>
      <c r="E366" s="174"/>
      <c r="F366" s="174"/>
      <c r="G366" s="174"/>
      <c r="H366" s="174"/>
      <c r="I366" s="120"/>
      <c r="J366" s="175">
        <f>J364-J365</f>
        <v>0</v>
      </c>
      <c r="K366" s="172"/>
      <c r="L366" s="62"/>
      <c r="M366" s="6"/>
      <c r="N366" s="52"/>
      <c r="O366" s="46"/>
      <c r="Q366" s="139"/>
    </row>
    <row r="367" spans="1:17" ht="6" hidden="1" customHeight="1" thickBot="1" x14ac:dyDescent="0.3">
      <c r="B367" s="41"/>
      <c r="C367" s="66"/>
      <c r="D367" s="4"/>
      <c r="E367" s="4"/>
      <c r="F367" s="4"/>
      <c r="G367" s="4"/>
      <c r="H367" s="4"/>
      <c r="I367" s="4"/>
      <c r="J367" s="4"/>
      <c r="K367" s="4"/>
      <c r="L367" s="4"/>
      <c r="M367" s="4"/>
      <c r="N367" s="67"/>
      <c r="O367" s="45"/>
    </row>
    <row r="368" spans="1:17" s="2" customFormat="1" ht="27" hidden="1" customHeight="1" thickBot="1" x14ac:dyDescent="0.3">
      <c r="A368" s="139"/>
      <c r="B368" s="42"/>
      <c r="C368" s="84"/>
      <c r="D368" s="82" t="s">
        <v>10</v>
      </c>
      <c r="E368" s="176"/>
      <c r="F368" s="176"/>
      <c r="G368" s="176"/>
      <c r="H368" s="176"/>
      <c r="I368" s="176"/>
      <c r="J368" s="176"/>
      <c r="K368" s="176"/>
      <c r="L368" s="177"/>
      <c r="M368" s="24" t="s">
        <v>8</v>
      </c>
      <c r="N368" s="85"/>
      <c r="O368" s="46"/>
      <c r="Q368" s="139"/>
    </row>
    <row r="369" spans="1:17" s="2" customFormat="1" ht="28.15" hidden="1" customHeight="1" x14ac:dyDescent="0.25">
      <c r="A369" s="139"/>
      <c r="B369" s="42"/>
      <c r="C369" s="100" t="s">
        <v>11</v>
      </c>
      <c r="D369" s="93"/>
      <c r="E369" s="94"/>
      <c r="F369" s="94"/>
      <c r="G369" s="95"/>
      <c r="H369" s="96"/>
      <c r="I369" s="97"/>
      <c r="J369" s="97"/>
      <c r="K369" s="97"/>
      <c r="L369" s="101"/>
      <c r="M369" s="98"/>
      <c r="N369" s="99"/>
      <c r="O369" s="46"/>
      <c r="Q369" s="139"/>
    </row>
    <row r="370" spans="1:17" s="19" customFormat="1" ht="4.5" hidden="1" customHeight="1" x14ac:dyDescent="0.25">
      <c r="A370" s="139"/>
      <c r="B370" s="43"/>
      <c r="C370" s="179">
        <v>28</v>
      </c>
      <c r="D370" s="16"/>
      <c r="E370" s="16"/>
      <c r="F370" s="16"/>
      <c r="G370" s="16"/>
      <c r="H370" s="17"/>
      <c r="I370" s="20"/>
      <c r="J370" s="16"/>
      <c r="K370" s="17"/>
      <c r="L370" s="20"/>
      <c r="M370" s="18"/>
      <c r="N370" s="51"/>
      <c r="O370" s="47"/>
      <c r="Q370" s="139"/>
    </row>
    <row r="371" spans="1:17" s="2" customFormat="1" ht="25.15" hidden="1" customHeight="1" x14ac:dyDescent="0.25">
      <c r="A371" s="139"/>
      <c r="B371" s="42"/>
      <c r="C371" s="179"/>
      <c r="D371" s="170" t="s">
        <v>336</v>
      </c>
      <c r="E371" s="170"/>
      <c r="F371" s="170"/>
      <c r="G371" s="170"/>
      <c r="H371" s="170"/>
      <c r="I371" s="60"/>
      <c r="J371" s="183"/>
      <c r="K371" s="184"/>
      <c r="L371" s="60"/>
      <c r="M371" s="6"/>
      <c r="N371" s="52"/>
      <c r="O371" s="46"/>
      <c r="Q371" s="139"/>
    </row>
    <row r="372" spans="1:17" s="2" customFormat="1" ht="25.15" hidden="1" customHeight="1" x14ac:dyDescent="0.25">
      <c r="A372" s="139"/>
      <c r="B372" s="42"/>
      <c r="C372" s="50">
        <v>29</v>
      </c>
      <c r="D372" s="169" t="s">
        <v>337</v>
      </c>
      <c r="E372" s="170"/>
      <c r="F372" s="170"/>
      <c r="G372" s="170"/>
      <c r="H372" s="170"/>
      <c r="I372" s="61"/>
      <c r="J372" s="171">
        <f>-0.25*J371</f>
        <v>0</v>
      </c>
      <c r="K372" s="172"/>
      <c r="L372" s="62"/>
      <c r="M372" s="6"/>
      <c r="N372" s="52"/>
      <c r="O372" s="46"/>
      <c r="Q372" s="139"/>
    </row>
    <row r="373" spans="1:17" s="2" customFormat="1" ht="25.15" hidden="1" customHeight="1" x14ac:dyDescent="0.25">
      <c r="A373" s="139"/>
      <c r="B373" s="42"/>
      <c r="C373" s="50">
        <v>30</v>
      </c>
      <c r="D373" s="169" t="s">
        <v>338</v>
      </c>
      <c r="E373" s="170"/>
      <c r="F373" s="170"/>
      <c r="G373" s="170"/>
      <c r="H373" s="170"/>
      <c r="I373" s="61"/>
      <c r="J373" s="171">
        <f>J371+J372</f>
        <v>0</v>
      </c>
      <c r="K373" s="172"/>
      <c r="L373" s="62"/>
      <c r="M373" s="6"/>
      <c r="N373" s="52"/>
      <c r="O373" s="46"/>
      <c r="Q373" s="139"/>
    </row>
    <row r="374" spans="1:17" s="2" customFormat="1" ht="25.15" hidden="1" customHeight="1" x14ac:dyDescent="0.25">
      <c r="A374" s="139"/>
      <c r="B374" s="42"/>
      <c r="C374" s="142">
        <v>31</v>
      </c>
      <c r="D374" s="170" t="s">
        <v>340</v>
      </c>
      <c r="E374" s="170"/>
      <c r="F374" s="170"/>
      <c r="G374" s="170"/>
      <c r="H374" s="170"/>
      <c r="I374" s="119" t="s">
        <v>15</v>
      </c>
      <c r="J374" s="183"/>
      <c r="K374" s="184"/>
      <c r="L374" s="104" t="s">
        <v>16</v>
      </c>
      <c r="M374" s="6"/>
      <c r="N374" s="52"/>
      <c r="O374" s="46"/>
      <c r="Q374" s="139"/>
    </row>
    <row r="375" spans="1:17" s="2" customFormat="1" ht="25.15" hidden="1" customHeight="1" x14ac:dyDescent="0.25">
      <c r="A375" s="139"/>
      <c r="B375" s="42"/>
      <c r="C375" s="142">
        <v>32</v>
      </c>
      <c r="D375" s="173" t="s">
        <v>14</v>
      </c>
      <c r="E375" s="174"/>
      <c r="F375" s="174"/>
      <c r="G375" s="174"/>
      <c r="H375" s="174"/>
      <c r="I375" s="120"/>
      <c r="J375" s="175">
        <f>J373-J374</f>
        <v>0</v>
      </c>
      <c r="K375" s="172"/>
      <c r="L375" s="62"/>
      <c r="M375" s="6"/>
      <c r="N375" s="52"/>
      <c r="O375" s="46"/>
      <c r="Q375" s="139"/>
    </row>
    <row r="376" spans="1:17" ht="6" hidden="1" customHeight="1" thickBot="1" x14ac:dyDescent="0.3">
      <c r="B376" s="41"/>
      <c r="C376" s="66"/>
      <c r="D376" s="4"/>
      <c r="E376" s="4"/>
      <c r="F376" s="4"/>
      <c r="G376" s="4"/>
      <c r="H376" s="4"/>
      <c r="I376" s="4"/>
      <c r="J376" s="4"/>
      <c r="K376" s="4"/>
      <c r="L376" s="4"/>
      <c r="M376" s="4"/>
      <c r="N376" s="67"/>
      <c r="O376" s="45"/>
    </row>
    <row r="377" spans="1:17" s="2" customFormat="1" ht="27" hidden="1" customHeight="1" thickBot="1" x14ac:dyDescent="0.3">
      <c r="A377" s="139"/>
      <c r="B377" s="42"/>
      <c r="C377" s="84"/>
      <c r="D377" s="82" t="s">
        <v>10</v>
      </c>
      <c r="E377" s="176"/>
      <c r="F377" s="176"/>
      <c r="G377" s="176"/>
      <c r="H377" s="176"/>
      <c r="I377" s="176"/>
      <c r="J377" s="176"/>
      <c r="K377" s="176"/>
      <c r="L377" s="177"/>
      <c r="M377" s="24" t="s">
        <v>8</v>
      </c>
      <c r="N377" s="85"/>
      <c r="O377" s="46"/>
      <c r="Q377" s="139"/>
    </row>
    <row r="378" spans="1:17" s="2" customFormat="1" ht="28.15" hidden="1" customHeight="1" x14ac:dyDescent="0.25">
      <c r="A378" s="139"/>
      <c r="B378" s="42"/>
      <c r="C378" s="100" t="s">
        <v>11</v>
      </c>
      <c r="D378" s="93"/>
      <c r="E378" s="94"/>
      <c r="F378" s="94"/>
      <c r="G378" s="95"/>
      <c r="H378" s="96"/>
      <c r="I378" s="97"/>
      <c r="J378" s="97"/>
      <c r="K378" s="97"/>
      <c r="L378" s="101"/>
      <c r="M378" s="98"/>
      <c r="N378" s="99"/>
      <c r="O378" s="46"/>
      <c r="Q378" s="139"/>
    </row>
    <row r="379" spans="1:17" s="19" customFormat="1" ht="4.5" hidden="1" customHeight="1" x14ac:dyDescent="0.25">
      <c r="A379" s="139"/>
      <c r="B379" s="43"/>
      <c r="C379" s="179">
        <v>28</v>
      </c>
      <c r="D379" s="16"/>
      <c r="E379" s="16"/>
      <c r="F379" s="16"/>
      <c r="G379" s="16"/>
      <c r="H379" s="17"/>
      <c r="I379" s="20"/>
      <c r="J379" s="16"/>
      <c r="K379" s="17"/>
      <c r="L379" s="20"/>
      <c r="M379" s="18"/>
      <c r="N379" s="51"/>
      <c r="O379" s="47"/>
      <c r="Q379" s="139"/>
    </row>
    <row r="380" spans="1:17" s="2" customFormat="1" ht="25.15" hidden="1" customHeight="1" x14ac:dyDescent="0.25">
      <c r="A380" s="139"/>
      <c r="B380" s="42"/>
      <c r="C380" s="179"/>
      <c r="D380" s="170" t="s">
        <v>336</v>
      </c>
      <c r="E380" s="170"/>
      <c r="F380" s="170"/>
      <c r="G380" s="170"/>
      <c r="H380" s="170"/>
      <c r="I380" s="60"/>
      <c r="J380" s="183"/>
      <c r="K380" s="184"/>
      <c r="L380" s="60"/>
      <c r="M380" s="6"/>
      <c r="N380" s="52"/>
      <c r="O380" s="46"/>
      <c r="Q380" s="139"/>
    </row>
    <row r="381" spans="1:17" s="2" customFormat="1" ht="25.15" hidden="1" customHeight="1" x14ac:dyDescent="0.25">
      <c r="A381" s="139"/>
      <c r="B381" s="42"/>
      <c r="C381" s="50">
        <v>29</v>
      </c>
      <c r="D381" s="169" t="s">
        <v>337</v>
      </c>
      <c r="E381" s="170"/>
      <c r="F381" s="170"/>
      <c r="G381" s="170"/>
      <c r="H381" s="170"/>
      <c r="I381" s="61"/>
      <c r="J381" s="171">
        <f>-0.25*J380</f>
        <v>0</v>
      </c>
      <c r="K381" s="172"/>
      <c r="L381" s="62"/>
      <c r="M381" s="6"/>
      <c r="N381" s="52"/>
      <c r="O381" s="46"/>
      <c r="Q381" s="139"/>
    </row>
    <row r="382" spans="1:17" s="2" customFormat="1" ht="25.15" hidden="1" customHeight="1" x14ac:dyDescent="0.25">
      <c r="A382" s="139"/>
      <c r="B382" s="42"/>
      <c r="C382" s="50">
        <v>30</v>
      </c>
      <c r="D382" s="169" t="s">
        <v>338</v>
      </c>
      <c r="E382" s="170"/>
      <c r="F382" s="170"/>
      <c r="G382" s="170"/>
      <c r="H382" s="170"/>
      <c r="I382" s="61"/>
      <c r="J382" s="171">
        <f>J380+J381</f>
        <v>0</v>
      </c>
      <c r="K382" s="172"/>
      <c r="L382" s="62"/>
      <c r="M382" s="6"/>
      <c r="N382" s="52"/>
      <c r="O382" s="46"/>
      <c r="Q382" s="139"/>
    </row>
    <row r="383" spans="1:17" s="2" customFormat="1" ht="25.15" hidden="1" customHeight="1" x14ac:dyDescent="0.25">
      <c r="A383" s="139"/>
      <c r="B383" s="42"/>
      <c r="C383" s="142">
        <v>31</v>
      </c>
      <c r="D383" s="170" t="s">
        <v>340</v>
      </c>
      <c r="E383" s="170"/>
      <c r="F383" s="170"/>
      <c r="G383" s="170"/>
      <c r="H383" s="170"/>
      <c r="I383" s="119" t="s">
        <v>15</v>
      </c>
      <c r="J383" s="183"/>
      <c r="K383" s="184"/>
      <c r="L383" s="104" t="s">
        <v>16</v>
      </c>
      <c r="M383" s="6"/>
      <c r="N383" s="52"/>
      <c r="O383" s="46"/>
      <c r="Q383" s="139"/>
    </row>
    <row r="384" spans="1:17" s="2" customFormat="1" ht="25.15" hidden="1" customHeight="1" x14ac:dyDescent="0.25">
      <c r="A384" s="139"/>
      <c r="B384" s="42"/>
      <c r="C384" s="142">
        <v>32</v>
      </c>
      <c r="D384" s="173" t="s">
        <v>14</v>
      </c>
      <c r="E384" s="174"/>
      <c r="F384" s="174"/>
      <c r="G384" s="174"/>
      <c r="H384" s="174"/>
      <c r="I384" s="120"/>
      <c r="J384" s="175">
        <f>J382-J383</f>
        <v>0</v>
      </c>
      <c r="K384" s="172"/>
      <c r="L384" s="62"/>
      <c r="M384" s="6"/>
      <c r="N384" s="52"/>
      <c r="O384" s="46"/>
      <c r="Q384" s="139"/>
    </row>
    <row r="385" spans="1:17" ht="6" hidden="1" customHeight="1" thickBot="1" x14ac:dyDescent="0.3">
      <c r="B385" s="41"/>
      <c r="C385" s="66"/>
      <c r="D385" s="4"/>
      <c r="E385" s="4"/>
      <c r="F385" s="4"/>
      <c r="G385" s="4"/>
      <c r="H385" s="4"/>
      <c r="I385" s="4"/>
      <c r="J385" s="4"/>
      <c r="K385" s="4"/>
      <c r="L385" s="4"/>
      <c r="M385" s="4"/>
      <c r="N385" s="67"/>
      <c r="O385" s="45"/>
    </row>
    <row r="386" spans="1:17" s="2" customFormat="1" ht="27" hidden="1" customHeight="1" thickBot="1" x14ac:dyDescent="0.3">
      <c r="A386" s="139"/>
      <c r="B386" s="42"/>
      <c r="C386" s="84"/>
      <c r="D386" s="82" t="s">
        <v>10</v>
      </c>
      <c r="E386" s="176"/>
      <c r="F386" s="176"/>
      <c r="G386" s="176"/>
      <c r="H386" s="176"/>
      <c r="I386" s="176"/>
      <c r="J386" s="176"/>
      <c r="K386" s="176"/>
      <c r="L386" s="177"/>
      <c r="M386" s="24" t="s">
        <v>8</v>
      </c>
      <c r="N386" s="85"/>
      <c r="O386" s="46"/>
      <c r="Q386" s="139"/>
    </row>
    <row r="387" spans="1:17" s="2" customFormat="1" ht="28.15" hidden="1" customHeight="1" x14ac:dyDescent="0.25">
      <c r="A387" s="139"/>
      <c r="B387" s="42"/>
      <c r="C387" s="100" t="s">
        <v>11</v>
      </c>
      <c r="D387" s="93"/>
      <c r="E387" s="94"/>
      <c r="F387" s="94"/>
      <c r="G387" s="95"/>
      <c r="H387" s="96"/>
      <c r="I387" s="97"/>
      <c r="J387" s="97"/>
      <c r="K387" s="97"/>
      <c r="L387" s="101"/>
      <c r="M387" s="98"/>
      <c r="N387" s="99"/>
      <c r="O387" s="46"/>
      <c r="Q387" s="139"/>
    </row>
    <row r="388" spans="1:17" s="19" customFormat="1" ht="4.5" hidden="1" customHeight="1" x14ac:dyDescent="0.25">
      <c r="A388" s="139"/>
      <c r="B388" s="43"/>
      <c r="C388" s="179">
        <v>28</v>
      </c>
      <c r="D388" s="16"/>
      <c r="E388" s="16"/>
      <c r="F388" s="16"/>
      <c r="G388" s="16"/>
      <c r="H388" s="17"/>
      <c r="I388" s="20"/>
      <c r="J388" s="16"/>
      <c r="K388" s="17"/>
      <c r="L388" s="20"/>
      <c r="M388" s="18"/>
      <c r="N388" s="51"/>
      <c r="O388" s="47"/>
      <c r="Q388" s="139"/>
    </row>
    <row r="389" spans="1:17" s="2" customFormat="1" ht="25.15" hidden="1" customHeight="1" x14ac:dyDescent="0.25">
      <c r="A389" s="139"/>
      <c r="B389" s="42"/>
      <c r="C389" s="179"/>
      <c r="D389" s="170" t="s">
        <v>336</v>
      </c>
      <c r="E389" s="170"/>
      <c r="F389" s="170"/>
      <c r="G389" s="170"/>
      <c r="H389" s="170"/>
      <c r="I389" s="60"/>
      <c r="J389" s="183"/>
      <c r="K389" s="184"/>
      <c r="L389" s="60"/>
      <c r="M389" s="6"/>
      <c r="N389" s="52"/>
      <c r="O389" s="46"/>
      <c r="Q389" s="139"/>
    </row>
    <row r="390" spans="1:17" s="2" customFormat="1" ht="25.15" hidden="1" customHeight="1" x14ac:dyDescent="0.25">
      <c r="A390" s="139"/>
      <c r="B390" s="42"/>
      <c r="C390" s="50">
        <v>29</v>
      </c>
      <c r="D390" s="169" t="s">
        <v>337</v>
      </c>
      <c r="E390" s="170"/>
      <c r="F390" s="170"/>
      <c r="G390" s="170"/>
      <c r="H390" s="170"/>
      <c r="I390" s="61"/>
      <c r="J390" s="171">
        <f>-0.25*J389</f>
        <v>0</v>
      </c>
      <c r="K390" s="172"/>
      <c r="L390" s="62"/>
      <c r="M390" s="6"/>
      <c r="N390" s="52"/>
      <c r="O390" s="46"/>
      <c r="Q390" s="139"/>
    </row>
    <row r="391" spans="1:17" s="2" customFormat="1" ht="25.15" hidden="1" customHeight="1" x14ac:dyDescent="0.25">
      <c r="A391" s="139"/>
      <c r="B391" s="42"/>
      <c r="C391" s="50">
        <v>30</v>
      </c>
      <c r="D391" s="169" t="s">
        <v>338</v>
      </c>
      <c r="E391" s="170"/>
      <c r="F391" s="170"/>
      <c r="G391" s="170"/>
      <c r="H391" s="170"/>
      <c r="I391" s="61"/>
      <c r="J391" s="171">
        <f>J389+J390</f>
        <v>0</v>
      </c>
      <c r="K391" s="172"/>
      <c r="L391" s="62"/>
      <c r="M391" s="6"/>
      <c r="N391" s="52"/>
      <c r="O391" s="46"/>
      <c r="Q391" s="139"/>
    </row>
    <row r="392" spans="1:17" s="2" customFormat="1" ht="25.15" hidden="1" customHeight="1" x14ac:dyDescent="0.25">
      <c r="A392" s="139"/>
      <c r="B392" s="42"/>
      <c r="C392" s="142">
        <v>31</v>
      </c>
      <c r="D392" s="170" t="s">
        <v>340</v>
      </c>
      <c r="E392" s="170"/>
      <c r="F392" s="170"/>
      <c r="G392" s="170"/>
      <c r="H392" s="170"/>
      <c r="I392" s="119" t="s">
        <v>15</v>
      </c>
      <c r="J392" s="183"/>
      <c r="K392" s="184"/>
      <c r="L392" s="104" t="s">
        <v>16</v>
      </c>
      <c r="M392" s="6"/>
      <c r="N392" s="52"/>
      <c r="O392" s="46"/>
      <c r="Q392" s="139"/>
    </row>
    <row r="393" spans="1:17" s="2" customFormat="1" ht="25.15" hidden="1" customHeight="1" x14ac:dyDescent="0.25">
      <c r="A393" s="139"/>
      <c r="B393" s="42"/>
      <c r="C393" s="142">
        <v>32</v>
      </c>
      <c r="D393" s="173" t="s">
        <v>14</v>
      </c>
      <c r="E393" s="174"/>
      <c r="F393" s="174"/>
      <c r="G393" s="174"/>
      <c r="H393" s="174"/>
      <c r="I393" s="120"/>
      <c r="J393" s="175">
        <f>J391-J392</f>
        <v>0</v>
      </c>
      <c r="K393" s="172"/>
      <c r="L393" s="62"/>
      <c r="M393" s="6"/>
      <c r="N393" s="52"/>
      <c r="O393" s="46"/>
      <c r="Q393" s="139"/>
    </row>
    <row r="394" spans="1:17" ht="6" hidden="1" customHeight="1" thickBot="1" x14ac:dyDescent="0.3">
      <c r="B394" s="41"/>
      <c r="C394" s="66"/>
      <c r="D394" s="4"/>
      <c r="E394" s="4"/>
      <c r="F394" s="4"/>
      <c r="G394" s="4"/>
      <c r="H394" s="4"/>
      <c r="I394" s="4"/>
      <c r="J394" s="4"/>
      <c r="K394" s="4"/>
      <c r="L394" s="4"/>
      <c r="M394" s="4"/>
      <c r="N394" s="67"/>
      <c r="O394" s="45"/>
    </row>
    <row r="395" spans="1:17" s="2" customFormat="1" ht="27" hidden="1" customHeight="1" thickBot="1" x14ac:dyDescent="0.3">
      <c r="A395" s="139"/>
      <c r="B395" s="42"/>
      <c r="C395" s="84"/>
      <c r="D395" s="82" t="s">
        <v>10</v>
      </c>
      <c r="E395" s="176"/>
      <c r="F395" s="176"/>
      <c r="G395" s="176"/>
      <c r="H395" s="176"/>
      <c r="I395" s="176"/>
      <c r="J395" s="176"/>
      <c r="K395" s="176"/>
      <c r="L395" s="177"/>
      <c r="M395" s="24" t="s">
        <v>8</v>
      </c>
      <c r="N395" s="85"/>
      <c r="O395" s="46"/>
      <c r="Q395" s="139"/>
    </row>
    <row r="396" spans="1:17" s="2" customFormat="1" ht="28.15" hidden="1" customHeight="1" x14ac:dyDescent="0.25">
      <c r="A396" s="139"/>
      <c r="B396" s="42"/>
      <c r="C396" s="100" t="s">
        <v>11</v>
      </c>
      <c r="D396" s="93"/>
      <c r="E396" s="94"/>
      <c r="F396" s="94"/>
      <c r="G396" s="95"/>
      <c r="H396" s="96"/>
      <c r="I396" s="97"/>
      <c r="J396" s="97"/>
      <c r="K396" s="97"/>
      <c r="L396" s="101"/>
      <c r="M396" s="98"/>
      <c r="N396" s="99"/>
      <c r="O396" s="46"/>
      <c r="Q396" s="139"/>
    </row>
    <row r="397" spans="1:17" s="19" customFormat="1" ht="4.5" hidden="1" customHeight="1" x14ac:dyDescent="0.25">
      <c r="A397" s="139"/>
      <c r="B397" s="43"/>
      <c r="C397" s="179">
        <v>28</v>
      </c>
      <c r="D397" s="16"/>
      <c r="E397" s="16"/>
      <c r="F397" s="16"/>
      <c r="G397" s="16"/>
      <c r="H397" s="17"/>
      <c r="I397" s="20"/>
      <c r="J397" s="16"/>
      <c r="K397" s="17"/>
      <c r="L397" s="20"/>
      <c r="M397" s="18"/>
      <c r="N397" s="51"/>
      <c r="O397" s="47"/>
      <c r="Q397" s="139"/>
    </row>
    <row r="398" spans="1:17" s="2" customFormat="1" ht="25.15" hidden="1" customHeight="1" x14ac:dyDescent="0.25">
      <c r="A398" s="139"/>
      <c r="B398" s="42"/>
      <c r="C398" s="179"/>
      <c r="D398" s="170" t="s">
        <v>336</v>
      </c>
      <c r="E398" s="170"/>
      <c r="F398" s="170"/>
      <c r="G398" s="170"/>
      <c r="H398" s="170"/>
      <c r="I398" s="60"/>
      <c r="J398" s="183"/>
      <c r="K398" s="184"/>
      <c r="L398" s="60"/>
      <c r="M398" s="6"/>
      <c r="N398" s="52"/>
      <c r="O398" s="46"/>
      <c r="Q398" s="139"/>
    </row>
    <row r="399" spans="1:17" s="2" customFormat="1" ht="25.15" hidden="1" customHeight="1" x14ac:dyDescent="0.25">
      <c r="A399" s="139"/>
      <c r="B399" s="42"/>
      <c r="C399" s="50">
        <v>29</v>
      </c>
      <c r="D399" s="169" t="s">
        <v>337</v>
      </c>
      <c r="E399" s="170"/>
      <c r="F399" s="170"/>
      <c r="G399" s="170"/>
      <c r="H399" s="170"/>
      <c r="I399" s="61"/>
      <c r="J399" s="171">
        <f>-0.25*J398</f>
        <v>0</v>
      </c>
      <c r="K399" s="172"/>
      <c r="L399" s="62"/>
      <c r="M399" s="6"/>
      <c r="N399" s="52"/>
      <c r="O399" s="46"/>
      <c r="Q399" s="139"/>
    </row>
    <row r="400" spans="1:17" s="2" customFormat="1" ht="25.15" hidden="1" customHeight="1" x14ac:dyDescent="0.25">
      <c r="A400" s="139"/>
      <c r="B400" s="42"/>
      <c r="C400" s="50">
        <v>30</v>
      </c>
      <c r="D400" s="169" t="s">
        <v>338</v>
      </c>
      <c r="E400" s="170"/>
      <c r="F400" s="170"/>
      <c r="G400" s="170"/>
      <c r="H400" s="170"/>
      <c r="I400" s="61"/>
      <c r="J400" s="171">
        <f>J398+J399</f>
        <v>0</v>
      </c>
      <c r="K400" s="172"/>
      <c r="L400" s="62"/>
      <c r="M400" s="6"/>
      <c r="N400" s="52"/>
      <c r="O400" s="46"/>
      <c r="Q400" s="139"/>
    </row>
    <row r="401" spans="1:17" s="2" customFormat="1" ht="25.15" hidden="1" customHeight="1" x14ac:dyDescent="0.25">
      <c r="A401" s="139"/>
      <c r="B401" s="42"/>
      <c r="C401" s="142">
        <v>31</v>
      </c>
      <c r="D401" s="170" t="s">
        <v>340</v>
      </c>
      <c r="E401" s="170"/>
      <c r="F401" s="170"/>
      <c r="G401" s="170"/>
      <c r="H401" s="170"/>
      <c r="I401" s="119" t="s">
        <v>15</v>
      </c>
      <c r="J401" s="183"/>
      <c r="K401" s="184"/>
      <c r="L401" s="104" t="s">
        <v>16</v>
      </c>
      <c r="M401" s="6"/>
      <c r="N401" s="52"/>
      <c r="O401" s="46"/>
      <c r="Q401" s="139"/>
    </row>
    <row r="402" spans="1:17" s="2" customFormat="1" ht="25.15" hidden="1" customHeight="1" x14ac:dyDescent="0.25">
      <c r="A402" s="139"/>
      <c r="B402" s="42"/>
      <c r="C402" s="142">
        <v>32</v>
      </c>
      <c r="D402" s="173" t="s">
        <v>14</v>
      </c>
      <c r="E402" s="174"/>
      <c r="F402" s="174"/>
      <c r="G402" s="174"/>
      <c r="H402" s="174"/>
      <c r="I402" s="120"/>
      <c r="J402" s="175">
        <f>J400-J401</f>
        <v>0</v>
      </c>
      <c r="K402" s="172"/>
      <c r="L402" s="62"/>
      <c r="M402" s="6"/>
      <c r="N402" s="52"/>
      <c r="O402" s="46"/>
      <c r="Q402" s="139"/>
    </row>
    <row r="403" spans="1:17" ht="6" hidden="1" customHeight="1" thickBot="1" x14ac:dyDescent="0.3">
      <c r="B403" s="41"/>
      <c r="C403" s="66"/>
      <c r="D403" s="4"/>
      <c r="E403" s="4"/>
      <c r="F403" s="4"/>
      <c r="G403" s="4"/>
      <c r="H403" s="4"/>
      <c r="I403" s="4"/>
      <c r="J403" s="4"/>
      <c r="K403" s="4"/>
      <c r="L403" s="4"/>
      <c r="M403" s="4"/>
      <c r="N403" s="67"/>
      <c r="O403" s="45"/>
    </row>
    <row r="404" spans="1:17" s="2" customFormat="1" ht="12" customHeight="1" thickBot="1" x14ac:dyDescent="0.3">
      <c r="A404" s="140"/>
      <c r="B404" s="109"/>
      <c r="C404" s="63"/>
      <c r="D404" s="63"/>
      <c r="E404" s="63"/>
      <c r="F404" s="63"/>
      <c r="G404" s="63"/>
      <c r="H404" s="63"/>
      <c r="I404" s="63"/>
      <c r="J404" s="63"/>
      <c r="K404" s="63"/>
      <c r="L404" s="63"/>
      <c r="M404" s="63"/>
      <c r="N404" s="63"/>
      <c r="O404" s="46"/>
      <c r="P404" s="11"/>
      <c r="Q404" s="139"/>
    </row>
    <row r="405" spans="1:17" s="2" customFormat="1" ht="15.6" customHeight="1" thickBot="1" x14ac:dyDescent="0.3">
      <c r="A405" s="141"/>
      <c r="B405" s="68"/>
      <c r="C405" s="63"/>
      <c r="D405" s="63"/>
      <c r="E405" s="63"/>
      <c r="F405" s="63"/>
      <c r="G405" s="63"/>
      <c r="H405" s="63"/>
      <c r="I405" s="63"/>
      <c r="J405" s="63"/>
      <c r="K405" s="63"/>
      <c r="L405" s="63"/>
      <c r="M405" s="63"/>
      <c r="N405" s="63"/>
      <c r="O405" s="69"/>
      <c r="P405" s="11"/>
      <c r="Q405" s="139"/>
    </row>
    <row r="406" spans="1:17" ht="28.15" customHeight="1" thickBot="1" x14ac:dyDescent="0.3">
      <c r="B406" s="194" t="s">
        <v>344</v>
      </c>
      <c r="C406" s="195"/>
      <c r="D406" s="195"/>
      <c r="E406" s="195"/>
      <c r="F406" s="195"/>
      <c r="G406" s="195"/>
      <c r="H406" s="195"/>
      <c r="I406" s="195"/>
      <c r="J406" s="36"/>
      <c r="K406" s="36"/>
      <c r="L406" s="36"/>
      <c r="M406" s="36"/>
      <c r="N406" s="36"/>
      <c r="O406" s="37"/>
    </row>
    <row r="407" spans="1:17" ht="9" customHeight="1" thickBot="1" x14ac:dyDescent="0.3">
      <c r="B407" s="40"/>
      <c r="C407" s="4"/>
      <c r="D407" s="4"/>
      <c r="E407" s="4"/>
      <c r="F407" s="4"/>
      <c r="G407" s="4"/>
      <c r="H407" s="4"/>
      <c r="I407" s="4"/>
      <c r="J407" s="4"/>
      <c r="K407" s="4"/>
      <c r="L407" s="4"/>
      <c r="M407" s="4"/>
      <c r="N407" s="4"/>
      <c r="O407" s="44"/>
    </row>
    <row r="408" spans="1:17" ht="28.15" customHeight="1" thickBot="1" x14ac:dyDescent="0.3">
      <c r="B408" s="106"/>
      <c r="C408" s="35"/>
      <c r="D408" s="194" t="s">
        <v>345</v>
      </c>
      <c r="E408" s="195"/>
      <c r="F408" s="195"/>
      <c r="G408" s="195"/>
      <c r="H408" s="195"/>
      <c r="I408" s="36"/>
      <c r="J408" s="36"/>
      <c r="K408" s="36"/>
      <c r="L408" s="36"/>
      <c r="M408" s="36"/>
      <c r="N408" s="38"/>
      <c r="O408" s="45"/>
    </row>
    <row r="409" spans="1:17" ht="6" hidden="1" customHeight="1" thickBot="1" x14ac:dyDescent="0.3">
      <c r="B409" s="106"/>
      <c r="C409" s="40"/>
      <c r="D409" s="4"/>
      <c r="E409" s="4"/>
      <c r="F409" s="4"/>
      <c r="G409" s="4"/>
      <c r="H409" s="4"/>
      <c r="I409" s="4"/>
      <c r="J409" s="4"/>
      <c r="K409" s="4"/>
      <c r="L409" s="4"/>
      <c r="M409" s="4"/>
      <c r="N409" s="48"/>
      <c r="O409" s="45"/>
    </row>
    <row r="410" spans="1:17" s="2" customFormat="1" ht="27" hidden="1" customHeight="1" thickBot="1" x14ac:dyDescent="0.3">
      <c r="A410" s="139"/>
      <c r="B410" s="107"/>
      <c r="C410" s="84"/>
      <c r="D410" s="82" t="s">
        <v>10</v>
      </c>
      <c r="E410" s="176"/>
      <c r="F410" s="176"/>
      <c r="G410" s="176"/>
      <c r="H410" s="176"/>
      <c r="I410" s="176"/>
      <c r="J410" s="176"/>
      <c r="K410" s="176"/>
      <c r="L410" s="177"/>
      <c r="M410" s="24" t="s">
        <v>8</v>
      </c>
      <c r="N410" s="85"/>
      <c r="O410" s="46"/>
      <c r="Q410" s="139"/>
    </row>
    <row r="411" spans="1:17" s="2" customFormat="1" ht="28.15" hidden="1" customHeight="1" x14ac:dyDescent="0.25">
      <c r="A411" s="139"/>
      <c r="B411" s="107"/>
      <c r="C411" s="83" t="s">
        <v>11</v>
      </c>
      <c r="D411" s="93"/>
      <c r="E411" s="94"/>
      <c r="F411" s="94"/>
      <c r="G411" s="95"/>
      <c r="H411" s="96"/>
      <c r="I411" s="97" t="str">
        <f>IF(ISNUMBER($I$8),$I$8,"")</f>
        <v/>
      </c>
      <c r="J411" s="94"/>
      <c r="K411" s="96"/>
      <c r="L411" s="97" t="str">
        <f>IF(ISNUMBER($L$8),$L$8,"")</f>
        <v/>
      </c>
      <c r="M411" s="98"/>
      <c r="N411" s="99"/>
      <c r="O411" s="46"/>
      <c r="Q411" s="139"/>
    </row>
    <row r="412" spans="1:17" s="19" customFormat="1" ht="4.5" hidden="1" customHeight="1" x14ac:dyDescent="0.25">
      <c r="A412" s="139"/>
      <c r="B412" s="106"/>
      <c r="C412" s="179">
        <v>33</v>
      </c>
      <c r="D412" s="16"/>
      <c r="E412" s="16"/>
      <c r="F412" s="16"/>
      <c r="G412" s="16"/>
      <c r="H412" s="17"/>
      <c r="I412" s="20"/>
      <c r="J412" s="16"/>
      <c r="K412" s="17"/>
      <c r="L412" s="20"/>
      <c r="M412" s="18"/>
      <c r="N412" s="51"/>
      <c r="O412" s="47"/>
      <c r="Q412" s="139"/>
    </row>
    <row r="413" spans="1:17" s="2" customFormat="1" ht="25.15" hidden="1" customHeight="1" x14ac:dyDescent="0.25">
      <c r="A413" s="139"/>
      <c r="B413" s="106"/>
      <c r="C413" s="179"/>
      <c r="D413" s="170" t="s">
        <v>395</v>
      </c>
      <c r="E413" s="170"/>
      <c r="F413" s="170"/>
      <c r="G413" s="170"/>
      <c r="H413" s="170"/>
      <c r="I413" s="164"/>
      <c r="J413" s="6"/>
      <c r="K413" s="6"/>
      <c r="L413" s="164"/>
      <c r="M413" s="6"/>
      <c r="N413" s="52"/>
      <c r="O413" s="46"/>
      <c r="Q413" s="139"/>
    </row>
    <row r="414" spans="1:17" s="2" customFormat="1" ht="25.15" hidden="1" customHeight="1" x14ac:dyDescent="0.25">
      <c r="A414" s="139"/>
      <c r="B414" s="107"/>
      <c r="C414" s="79">
        <v>34</v>
      </c>
      <c r="D414" s="169" t="s">
        <v>372</v>
      </c>
      <c r="E414" s="170"/>
      <c r="F414" s="170"/>
      <c r="G414" s="170"/>
      <c r="H414" s="170"/>
      <c r="I414" s="25"/>
      <c r="J414" s="6"/>
      <c r="K414" s="6"/>
      <c r="L414" s="26"/>
      <c r="M414" s="6"/>
      <c r="N414" s="52"/>
      <c r="O414" s="46"/>
      <c r="Q414" s="139"/>
    </row>
    <row r="415" spans="1:17" s="2" customFormat="1" ht="25.15" hidden="1" customHeight="1" x14ac:dyDescent="0.25">
      <c r="A415" s="139"/>
      <c r="B415" s="107"/>
      <c r="C415" s="130">
        <v>35</v>
      </c>
      <c r="D415" s="178" t="s">
        <v>373</v>
      </c>
      <c r="E415" s="169"/>
      <c r="F415" s="169"/>
      <c r="G415" s="169"/>
      <c r="H415" s="22" t="s">
        <v>15</v>
      </c>
      <c r="I415" s="25"/>
      <c r="J415" s="23" t="s">
        <v>16</v>
      </c>
      <c r="K415" s="22" t="s">
        <v>15</v>
      </c>
      <c r="L415" s="25"/>
      <c r="M415" s="23" t="s">
        <v>16</v>
      </c>
      <c r="N415" s="52"/>
      <c r="O415" s="46"/>
      <c r="Q415" s="139"/>
    </row>
    <row r="416" spans="1:17" s="2" customFormat="1" ht="25.15" hidden="1" customHeight="1" x14ac:dyDescent="0.25">
      <c r="A416" s="139"/>
      <c r="B416" s="107"/>
      <c r="C416" s="142">
        <v>36</v>
      </c>
      <c r="D416" s="178" t="s">
        <v>346</v>
      </c>
      <c r="E416" s="169"/>
      <c r="F416" s="169"/>
      <c r="G416" s="169"/>
      <c r="H416" s="180"/>
      <c r="I416" s="25"/>
      <c r="J416" s="133"/>
      <c r="K416" s="132"/>
      <c r="L416" s="25"/>
      <c r="M416" s="133"/>
      <c r="N416" s="52"/>
      <c r="O416" s="46"/>
      <c r="Q416" s="139"/>
    </row>
    <row r="417" spans="1:17" s="2" customFormat="1" ht="25.15" hidden="1" customHeight="1" x14ac:dyDescent="0.25">
      <c r="A417" s="139"/>
      <c r="B417" s="106"/>
      <c r="C417" s="142">
        <v>37</v>
      </c>
      <c r="D417" s="169" t="s">
        <v>347</v>
      </c>
      <c r="E417" s="170"/>
      <c r="F417" s="170"/>
      <c r="G417" s="170"/>
      <c r="H417" s="170"/>
      <c r="I417" s="25"/>
      <c r="J417" s="6"/>
      <c r="K417" s="6"/>
      <c r="L417" s="26"/>
      <c r="M417" s="6"/>
      <c r="N417" s="52"/>
      <c r="O417" s="47"/>
      <c r="Q417" s="139"/>
    </row>
    <row r="418" spans="1:17" s="2" customFormat="1" ht="25.15" hidden="1" customHeight="1" x14ac:dyDescent="0.25">
      <c r="A418" s="139"/>
      <c r="B418" s="106"/>
      <c r="C418" s="142">
        <v>38</v>
      </c>
      <c r="D418" s="169" t="s">
        <v>374</v>
      </c>
      <c r="E418" s="170"/>
      <c r="F418" s="170"/>
      <c r="G418" s="170"/>
      <c r="H418" s="170"/>
      <c r="I418" s="25"/>
      <c r="J418" s="6"/>
      <c r="K418" s="6"/>
      <c r="L418" s="26"/>
      <c r="M418" s="6"/>
      <c r="N418" s="52"/>
      <c r="O418" s="46"/>
      <c r="Q418" s="139"/>
    </row>
    <row r="419" spans="1:17" s="2" customFormat="1" ht="25.15" hidden="1" customHeight="1" x14ac:dyDescent="0.25">
      <c r="A419" s="139"/>
      <c r="B419" s="107"/>
      <c r="C419" s="142">
        <v>39</v>
      </c>
      <c r="D419" s="169" t="s">
        <v>348</v>
      </c>
      <c r="E419" s="170"/>
      <c r="F419" s="170"/>
      <c r="G419" s="170"/>
      <c r="H419" s="170"/>
      <c r="I419" s="25"/>
      <c r="J419" s="6"/>
      <c r="K419" s="6"/>
      <c r="L419" s="26"/>
      <c r="M419" s="6"/>
      <c r="N419" s="52"/>
      <c r="O419" s="46"/>
      <c r="Q419" s="139"/>
    </row>
    <row r="420" spans="1:17" s="2" customFormat="1" ht="37.9" hidden="1" customHeight="1" x14ac:dyDescent="0.25">
      <c r="A420" s="139"/>
      <c r="B420" s="107"/>
      <c r="C420" s="142">
        <v>40</v>
      </c>
      <c r="D420" s="134" t="s">
        <v>9</v>
      </c>
      <c r="E420" s="181" t="s">
        <v>349</v>
      </c>
      <c r="F420" s="182"/>
      <c r="G420" s="182"/>
      <c r="H420" s="12"/>
      <c r="I420" s="25"/>
      <c r="J420" s="6"/>
      <c r="K420" s="6"/>
      <c r="L420" s="26"/>
      <c r="M420" s="6"/>
      <c r="N420" s="52"/>
      <c r="O420" s="46"/>
      <c r="Q420" s="139"/>
    </row>
    <row r="421" spans="1:17" s="2" customFormat="1" ht="37.9" hidden="1" customHeight="1" x14ac:dyDescent="0.25">
      <c r="A421" s="139"/>
      <c r="B421" s="106"/>
      <c r="C421" s="142">
        <v>41</v>
      </c>
      <c r="D421" s="73" t="s">
        <v>12</v>
      </c>
      <c r="E421" s="80"/>
      <c r="F421" s="80"/>
      <c r="G421" s="80"/>
      <c r="H421" s="14"/>
      <c r="I421" s="28">
        <f>I414-I415+SUM(I416:I420)</f>
        <v>0</v>
      </c>
      <c r="J421" s="29"/>
      <c r="K421" s="29"/>
      <c r="L421" s="28">
        <f>L414-L415+SUM(L416:L420)</f>
        <v>0</v>
      </c>
      <c r="M421" s="6"/>
      <c r="N421" s="52"/>
      <c r="O421" s="47"/>
      <c r="Q421" s="139"/>
    </row>
    <row r="422" spans="1:17" s="2" customFormat="1" ht="29.45" hidden="1" customHeight="1" x14ac:dyDescent="0.25">
      <c r="A422" s="139"/>
      <c r="B422" s="106"/>
      <c r="C422" s="142">
        <v>42</v>
      </c>
      <c r="D422" s="102" t="s">
        <v>13</v>
      </c>
      <c r="E422" s="13"/>
      <c r="F422" s="13"/>
      <c r="G422" s="13"/>
      <c r="H422" s="14"/>
      <c r="I422" s="30" t="str">
        <f>IFERROR(I421/I413,"N/A")</f>
        <v>N/A</v>
      </c>
      <c r="J422" s="29"/>
      <c r="K422" s="29"/>
      <c r="L422" s="30" t="str">
        <f>IFERROR(L421/L413,"N/A")</f>
        <v>N/A</v>
      </c>
      <c r="M422" s="6"/>
      <c r="N422" s="52"/>
      <c r="O422" s="46"/>
      <c r="Q422" s="139"/>
    </row>
    <row r="423" spans="1:17" s="2" customFormat="1" ht="25.15" hidden="1" customHeight="1" x14ac:dyDescent="0.25">
      <c r="A423" s="139"/>
      <c r="B423" s="107"/>
      <c r="C423" s="142">
        <v>43</v>
      </c>
      <c r="D423" s="15" t="s">
        <v>340</v>
      </c>
      <c r="E423" s="12"/>
      <c r="F423" s="12"/>
      <c r="G423" s="12"/>
      <c r="H423" s="22" t="s">
        <v>15</v>
      </c>
      <c r="I423" s="27"/>
      <c r="J423" s="23" t="s">
        <v>16</v>
      </c>
      <c r="K423" s="22" t="s">
        <v>15</v>
      </c>
      <c r="L423" s="27"/>
      <c r="M423" s="23" t="s">
        <v>16</v>
      </c>
      <c r="N423" s="52"/>
      <c r="O423" s="46"/>
      <c r="Q423" s="139"/>
    </row>
    <row r="424" spans="1:17" s="2" customFormat="1" ht="29.45" hidden="1" customHeight="1" x14ac:dyDescent="0.25">
      <c r="A424" s="139"/>
      <c r="B424" s="107"/>
      <c r="C424" s="142">
        <v>44</v>
      </c>
      <c r="D424" s="103" t="s">
        <v>14</v>
      </c>
      <c r="E424" s="72"/>
      <c r="F424" s="72"/>
      <c r="G424" s="72"/>
      <c r="H424" s="21"/>
      <c r="I424" s="55" t="str">
        <f>IFERROR(I422-I423,"N/A")</f>
        <v>N/A</v>
      </c>
      <c r="J424" s="6"/>
      <c r="K424" s="6"/>
      <c r="L424" s="55" t="str">
        <f>IFERROR(L422-L423,"N/A")</f>
        <v>N/A</v>
      </c>
      <c r="M424" s="6"/>
      <c r="N424" s="52"/>
      <c r="O424" s="47"/>
      <c r="Q424" s="139"/>
    </row>
    <row r="425" spans="1:17" s="2" customFormat="1" ht="29.45" hidden="1" customHeight="1" x14ac:dyDescent="0.25">
      <c r="A425" s="139"/>
      <c r="B425" s="106"/>
      <c r="C425" s="142">
        <v>45</v>
      </c>
      <c r="D425" s="70" t="str">
        <f>"Average NET Monthly Rental Income (Loss) "&amp;IF(AND(ISNUMBER(I413),ISNUMBER(L413)),I413+L413,IF(ISNUMBER(I413),I413,IF(ISNUMBER(L413),L413,"____")))&amp;" months"</f>
        <v>Average NET Monthly Rental Income (Loss) ____ months</v>
      </c>
      <c r="E425" s="74"/>
      <c r="F425" s="74"/>
      <c r="G425" s="74"/>
      <c r="H425" s="75"/>
      <c r="I425" s="76"/>
      <c r="J425" s="168" t="str">
        <f>IF(AND(ISNUMBER(I413),ISNUMBER(L413),ISNUMBER(I424),ISNUMBER(L424)),((I413*I424)+(L413*L424))/(I413+L413),IF(AND(OR(NOT(ISNUMBER(L413)),NOT(ISNUMBER(L424))),ISNUMBER(I413),ISNUMBER(I424)),I424,IF(AND(OR(NOT(ISNUMBER(I413)),NOT(ISNUMBER(I424))),ISNUMBER(L413),ISNUMBER(L424)),L424,"N/A")))</f>
        <v>N/A</v>
      </c>
      <c r="K425" s="168"/>
      <c r="L425" s="76"/>
      <c r="M425" s="77"/>
      <c r="N425" s="78"/>
      <c r="O425" s="47"/>
      <c r="Q425" s="139"/>
    </row>
    <row r="426" spans="1:17" s="2" customFormat="1" ht="9.6" hidden="1" customHeight="1" thickBot="1" x14ac:dyDescent="0.3">
      <c r="A426" s="139"/>
      <c r="B426" s="106"/>
      <c r="C426" s="53"/>
      <c r="D426" s="7"/>
      <c r="E426" s="7"/>
      <c r="F426" s="7"/>
      <c r="G426" s="7"/>
      <c r="H426" s="7"/>
      <c r="I426" s="7"/>
      <c r="J426" s="7"/>
      <c r="K426" s="7"/>
      <c r="L426" s="7"/>
      <c r="M426" s="7"/>
      <c r="N426" s="54"/>
      <c r="O426" s="46"/>
      <c r="Q426" s="139"/>
    </row>
    <row r="427" spans="1:17" s="2" customFormat="1" ht="27" hidden="1" customHeight="1" thickBot="1" x14ac:dyDescent="0.3">
      <c r="A427" s="139"/>
      <c r="B427" s="107"/>
      <c r="C427" s="84"/>
      <c r="D427" s="82" t="s">
        <v>10</v>
      </c>
      <c r="E427" s="176"/>
      <c r="F427" s="176"/>
      <c r="G427" s="176"/>
      <c r="H427" s="176"/>
      <c r="I427" s="176"/>
      <c r="J427" s="176"/>
      <c r="K427" s="176"/>
      <c r="L427" s="177"/>
      <c r="M427" s="24" t="s">
        <v>8</v>
      </c>
      <c r="N427" s="85"/>
      <c r="O427" s="46"/>
      <c r="Q427" s="139"/>
    </row>
    <row r="428" spans="1:17" s="2" customFormat="1" ht="28.15" hidden="1" customHeight="1" x14ac:dyDescent="0.25">
      <c r="A428" s="139"/>
      <c r="B428" s="107"/>
      <c r="C428" s="83" t="s">
        <v>11</v>
      </c>
      <c r="D428" s="93"/>
      <c r="E428" s="94"/>
      <c r="F428" s="94"/>
      <c r="G428" s="95"/>
      <c r="H428" s="96"/>
      <c r="I428" s="97" t="str">
        <f>IF(ISNUMBER($I$8),$I$8,"")</f>
        <v/>
      </c>
      <c r="J428" s="94"/>
      <c r="K428" s="96"/>
      <c r="L428" s="97" t="str">
        <f>IF(ISNUMBER($L$8),$L$8,"")</f>
        <v/>
      </c>
      <c r="M428" s="98"/>
      <c r="N428" s="99"/>
      <c r="O428" s="46"/>
      <c r="Q428" s="139"/>
    </row>
    <row r="429" spans="1:17" s="19" customFormat="1" ht="4.5" hidden="1" customHeight="1" x14ac:dyDescent="0.25">
      <c r="A429" s="139"/>
      <c r="B429" s="106"/>
      <c r="C429" s="179">
        <v>33</v>
      </c>
      <c r="D429" s="16"/>
      <c r="E429" s="16"/>
      <c r="F429" s="16"/>
      <c r="G429" s="16"/>
      <c r="H429" s="17"/>
      <c r="I429" s="20"/>
      <c r="J429" s="16"/>
      <c r="K429" s="17"/>
      <c r="L429" s="20"/>
      <c r="M429" s="18"/>
      <c r="N429" s="51"/>
      <c r="O429" s="47"/>
      <c r="Q429" s="139"/>
    </row>
    <row r="430" spans="1:17" s="2" customFormat="1" ht="25.15" hidden="1" customHeight="1" x14ac:dyDescent="0.25">
      <c r="A430" s="139"/>
      <c r="B430" s="106"/>
      <c r="C430" s="179"/>
      <c r="D430" s="170" t="s">
        <v>395</v>
      </c>
      <c r="E430" s="170"/>
      <c r="F430" s="170"/>
      <c r="G430" s="170"/>
      <c r="H430" s="170"/>
      <c r="I430" s="164"/>
      <c r="J430" s="6"/>
      <c r="K430" s="6"/>
      <c r="L430" s="164"/>
      <c r="M430" s="6"/>
      <c r="N430" s="52"/>
      <c r="O430" s="46"/>
      <c r="Q430" s="139"/>
    </row>
    <row r="431" spans="1:17" s="2" customFormat="1" ht="25.15" hidden="1" customHeight="1" x14ac:dyDescent="0.25">
      <c r="A431" s="139"/>
      <c r="B431" s="107"/>
      <c r="C431" s="135">
        <v>34</v>
      </c>
      <c r="D431" s="169" t="s">
        <v>372</v>
      </c>
      <c r="E431" s="170"/>
      <c r="F431" s="170"/>
      <c r="G431" s="170"/>
      <c r="H431" s="170"/>
      <c r="I431" s="25"/>
      <c r="J431" s="6"/>
      <c r="K431" s="6"/>
      <c r="L431" s="26"/>
      <c r="M431" s="6"/>
      <c r="N431" s="52"/>
      <c r="O431" s="46"/>
      <c r="Q431" s="139"/>
    </row>
    <row r="432" spans="1:17" s="2" customFormat="1" ht="25.15" hidden="1" customHeight="1" x14ac:dyDescent="0.25">
      <c r="A432" s="139"/>
      <c r="B432" s="107"/>
      <c r="C432" s="135">
        <v>35</v>
      </c>
      <c r="D432" s="178" t="s">
        <v>373</v>
      </c>
      <c r="E432" s="169"/>
      <c r="F432" s="169"/>
      <c r="G432" s="169"/>
      <c r="H432" s="22" t="s">
        <v>15</v>
      </c>
      <c r="I432" s="25"/>
      <c r="J432" s="23" t="s">
        <v>16</v>
      </c>
      <c r="K432" s="22" t="s">
        <v>15</v>
      </c>
      <c r="L432" s="25"/>
      <c r="M432" s="23" t="s">
        <v>16</v>
      </c>
      <c r="N432" s="52"/>
      <c r="O432" s="46"/>
      <c r="Q432" s="139"/>
    </row>
    <row r="433" spans="1:17" s="2" customFormat="1" ht="25.15" hidden="1" customHeight="1" x14ac:dyDescent="0.25">
      <c r="A433" s="139"/>
      <c r="B433" s="107"/>
      <c r="C433" s="142">
        <v>36</v>
      </c>
      <c r="D433" s="178" t="s">
        <v>346</v>
      </c>
      <c r="E433" s="169"/>
      <c r="F433" s="169"/>
      <c r="G433" s="169"/>
      <c r="H433" s="180"/>
      <c r="I433" s="25"/>
      <c r="J433" s="133"/>
      <c r="K433" s="132"/>
      <c r="L433" s="25"/>
      <c r="M433" s="133"/>
      <c r="N433" s="52"/>
      <c r="O433" s="46"/>
      <c r="Q433" s="139"/>
    </row>
    <row r="434" spans="1:17" s="2" customFormat="1" ht="25.15" hidden="1" customHeight="1" x14ac:dyDescent="0.25">
      <c r="A434" s="139"/>
      <c r="B434" s="106"/>
      <c r="C434" s="142">
        <v>37</v>
      </c>
      <c r="D434" s="169" t="s">
        <v>347</v>
      </c>
      <c r="E434" s="170"/>
      <c r="F434" s="170"/>
      <c r="G434" s="170"/>
      <c r="H434" s="170"/>
      <c r="I434" s="25"/>
      <c r="J434" s="6"/>
      <c r="K434" s="6"/>
      <c r="L434" s="26"/>
      <c r="M434" s="6"/>
      <c r="N434" s="52"/>
      <c r="O434" s="47"/>
      <c r="Q434" s="139"/>
    </row>
    <row r="435" spans="1:17" s="2" customFormat="1" ht="25.15" hidden="1" customHeight="1" x14ac:dyDescent="0.25">
      <c r="A435" s="139"/>
      <c r="B435" s="106"/>
      <c r="C435" s="142">
        <v>38</v>
      </c>
      <c r="D435" s="169" t="s">
        <v>374</v>
      </c>
      <c r="E435" s="170"/>
      <c r="F435" s="170"/>
      <c r="G435" s="170"/>
      <c r="H435" s="170"/>
      <c r="I435" s="25"/>
      <c r="J435" s="6"/>
      <c r="K435" s="6"/>
      <c r="L435" s="26"/>
      <c r="M435" s="6"/>
      <c r="N435" s="52"/>
      <c r="O435" s="46"/>
      <c r="Q435" s="139"/>
    </row>
    <row r="436" spans="1:17" s="2" customFormat="1" ht="25.15" hidden="1" customHeight="1" x14ac:dyDescent="0.25">
      <c r="A436" s="139"/>
      <c r="B436" s="107"/>
      <c r="C436" s="142">
        <v>39</v>
      </c>
      <c r="D436" s="169" t="s">
        <v>348</v>
      </c>
      <c r="E436" s="170"/>
      <c r="F436" s="170"/>
      <c r="G436" s="170"/>
      <c r="H436" s="170"/>
      <c r="I436" s="25"/>
      <c r="J436" s="6"/>
      <c r="K436" s="6"/>
      <c r="L436" s="26"/>
      <c r="M436" s="6"/>
      <c r="N436" s="52"/>
      <c r="O436" s="46"/>
      <c r="Q436" s="139"/>
    </row>
    <row r="437" spans="1:17" s="2" customFormat="1" ht="37.9" hidden="1" customHeight="1" x14ac:dyDescent="0.25">
      <c r="A437" s="139"/>
      <c r="B437" s="107"/>
      <c r="C437" s="142">
        <v>40</v>
      </c>
      <c r="D437" s="134" t="s">
        <v>9</v>
      </c>
      <c r="E437" s="181" t="s">
        <v>349</v>
      </c>
      <c r="F437" s="182"/>
      <c r="G437" s="182"/>
      <c r="H437" s="12"/>
      <c r="I437" s="25"/>
      <c r="J437" s="6"/>
      <c r="K437" s="6"/>
      <c r="L437" s="26"/>
      <c r="M437" s="6"/>
      <c r="N437" s="52"/>
      <c r="O437" s="46"/>
      <c r="Q437" s="139"/>
    </row>
    <row r="438" spans="1:17" s="2" customFormat="1" ht="37.9" hidden="1" customHeight="1" x14ac:dyDescent="0.25">
      <c r="A438" s="139"/>
      <c r="B438" s="106"/>
      <c r="C438" s="142">
        <v>41</v>
      </c>
      <c r="D438" s="73" t="s">
        <v>12</v>
      </c>
      <c r="E438" s="136"/>
      <c r="F438" s="136"/>
      <c r="G438" s="136"/>
      <c r="H438" s="14"/>
      <c r="I438" s="28">
        <f>I431-I432+SUM(I433:I437)</f>
        <v>0</v>
      </c>
      <c r="J438" s="29"/>
      <c r="K438" s="29"/>
      <c r="L438" s="28">
        <f>L431-L432+SUM(L433:L437)</f>
        <v>0</v>
      </c>
      <c r="M438" s="6"/>
      <c r="N438" s="52"/>
      <c r="O438" s="47"/>
      <c r="Q438" s="139"/>
    </row>
    <row r="439" spans="1:17" s="2" customFormat="1" ht="29.45" hidden="1" customHeight="1" x14ac:dyDescent="0.25">
      <c r="A439" s="139"/>
      <c r="B439" s="106"/>
      <c r="C439" s="142">
        <v>42</v>
      </c>
      <c r="D439" s="102" t="s">
        <v>13</v>
      </c>
      <c r="E439" s="13"/>
      <c r="F439" s="13"/>
      <c r="G439" s="13"/>
      <c r="H439" s="14"/>
      <c r="I439" s="30" t="str">
        <f>IFERROR(I438/I430,"N/A")</f>
        <v>N/A</v>
      </c>
      <c r="J439" s="29"/>
      <c r="K439" s="29"/>
      <c r="L439" s="30" t="str">
        <f>IFERROR(L438/L430,"N/A")</f>
        <v>N/A</v>
      </c>
      <c r="M439" s="6"/>
      <c r="N439" s="52"/>
      <c r="O439" s="46"/>
      <c r="Q439" s="139"/>
    </row>
    <row r="440" spans="1:17" s="2" customFormat="1" ht="25.15" hidden="1" customHeight="1" x14ac:dyDescent="0.25">
      <c r="A440" s="139"/>
      <c r="B440" s="107"/>
      <c r="C440" s="142">
        <v>43</v>
      </c>
      <c r="D440" s="15" t="s">
        <v>340</v>
      </c>
      <c r="E440" s="12"/>
      <c r="F440" s="12"/>
      <c r="G440" s="12"/>
      <c r="H440" s="22" t="s">
        <v>15</v>
      </c>
      <c r="I440" s="27"/>
      <c r="J440" s="23" t="s">
        <v>16</v>
      </c>
      <c r="K440" s="22" t="s">
        <v>15</v>
      </c>
      <c r="L440" s="27"/>
      <c r="M440" s="23" t="s">
        <v>16</v>
      </c>
      <c r="N440" s="52"/>
      <c r="O440" s="46"/>
      <c r="Q440" s="139"/>
    </row>
    <row r="441" spans="1:17" s="2" customFormat="1" ht="29.45" hidden="1" customHeight="1" x14ac:dyDescent="0.25">
      <c r="A441" s="139"/>
      <c r="B441" s="107"/>
      <c r="C441" s="142">
        <v>44</v>
      </c>
      <c r="D441" s="103" t="s">
        <v>14</v>
      </c>
      <c r="E441" s="72"/>
      <c r="F441" s="72"/>
      <c r="G441" s="72"/>
      <c r="H441" s="21"/>
      <c r="I441" s="55" t="str">
        <f>IFERROR(I439-I440,"N/A")</f>
        <v>N/A</v>
      </c>
      <c r="J441" s="6"/>
      <c r="K441" s="6"/>
      <c r="L441" s="55" t="str">
        <f>IFERROR(L439-L440,"N/A")</f>
        <v>N/A</v>
      </c>
      <c r="M441" s="6"/>
      <c r="N441" s="52"/>
      <c r="O441" s="47"/>
      <c r="Q441" s="139"/>
    </row>
    <row r="442" spans="1:17" s="2" customFormat="1" ht="29.45" hidden="1" customHeight="1" x14ac:dyDescent="0.25">
      <c r="A442" s="139"/>
      <c r="B442" s="106"/>
      <c r="C442" s="142">
        <v>45</v>
      </c>
      <c r="D442" s="70" t="str">
        <f>"Average NET Monthly Rental Income (Loss) "&amp;IF(AND(ISNUMBER(I430),ISNUMBER(L430)),I430+L430,IF(ISNUMBER(I430),I430,IF(ISNUMBER(L430),L430,"____")))&amp;" months"</f>
        <v>Average NET Monthly Rental Income (Loss) ____ months</v>
      </c>
      <c r="E442" s="74"/>
      <c r="F442" s="74"/>
      <c r="G442" s="74"/>
      <c r="H442" s="75"/>
      <c r="I442" s="76"/>
      <c r="J442" s="168" t="str">
        <f>IF(AND(ISNUMBER(I430),ISNUMBER(L430),ISNUMBER(I441),ISNUMBER(L441)),((I430*I441)+(L430*L441))/(I430+L430),IF(AND(OR(NOT(ISNUMBER(L430)),NOT(ISNUMBER(L441))),ISNUMBER(I430),ISNUMBER(I441)),I441,IF(AND(OR(NOT(ISNUMBER(I430)),NOT(ISNUMBER(I441))),ISNUMBER(L430),ISNUMBER(L441)),L441,"N/A")))</f>
        <v>N/A</v>
      </c>
      <c r="K442" s="168"/>
      <c r="L442" s="76"/>
      <c r="M442" s="77"/>
      <c r="N442" s="78"/>
      <c r="O442" s="47"/>
      <c r="Q442" s="139"/>
    </row>
    <row r="443" spans="1:17" s="2" customFormat="1" ht="9.6" hidden="1" customHeight="1" thickBot="1" x14ac:dyDescent="0.3">
      <c r="A443" s="139"/>
      <c r="B443" s="106"/>
      <c r="C443" s="53"/>
      <c r="D443" s="7"/>
      <c r="E443" s="7"/>
      <c r="F443" s="7"/>
      <c r="G443" s="7"/>
      <c r="H443" s="7"/>
      <c r="I443" s="7"/>
      <c r="J443" s="7"/>
      <c r="K443" s="7"/>
      <c r="L443" s="7"/>
      <c r="M443" s="7"/>
      <c r="N443" s="54"/>
      <c r="O443" s="46"/>
      <c r="Q443" s="139"/>
    </row>
    <row r="444" spans="1:17" s="2" customFormat="1" ht="27" hidden="1" customHeight="1" thickBot="1" x14ac:dyDescent="0.3">
      <c r="A444" s="139"/>
      <c r="B444" s="107"/>
      <c r="C444" s="84"/>
      <c r="D444" s="82" t="s">
        <v>10</v>
      </c>
      <c r="E444" s="176"/>
      <c r="F444" s="176"/>
      <c r="G444" s="176"/>
      <c r="H444" s="176"/>
      <c r="I444" s="176"/>
      <c r="J444" s="176"/>
      <c r="K444" s="176"/>
      <c r="L444" s="177"/>
      <c r="M444" s="24" t="s">
        <v>8</v>
      </c>
      <c r="N444" s="85"/>
      <c r="O444" s="46"/>
      <c r="Q444" s="139"/>
    </row>
    <row r="445" spans="1:17" s="2" customFormat="1" ht="28.15" hidden="1" customHeight="1" x14ac:dyDescent="0.25">
      <c r="A445" s="139"/>
      <c r="B445" s="107"/>
      <c r="C445" s="83" t="s">
        <v>11</v>
      </c>
      <c r="D445" s="93"/>
      <c r="E445" s="94"/>
      <c r="F445" s="94"/>
      <c r="G445" s="95"/>
      <c r="H445" s="96"/>
      <c r="I445" s="97" t="str">
        <f>IF(ISNUMBER($I$8),$I$8,"")</f>
        <v/>
      </c>
      <c r="J445" s="94"/>
      <c r="K445" s="96"/>
      <c r="L445" s="97" t="str">
        <f>IF(ISNUMBER($L$8),$L$8,"")</f>
        <v/>
      </c>
      <c r="M445" s="98"/>
      <c r="N445" s="99"/>
      <c r="O445" s="46"/>
      <c r="Q445" s="139"/>
    </row>
    <row r="446" spans="1:17" s="19" customFormat="1" ht="4.5" hidden="1" customHeight="1" x14ac:dyDescent="0.25">
      <c r="A446" s="139"/>
      <c r="B446" s="106"/>
      <c r="C446" s="179">
        <v>33</v>
      </c>
      <c r="D446" s="16"/>
      <c r="E446" s="16"/>
      <c r="F446" s="16"/>
      <c r="G446" s="16"/>
      <c r="H446" s="17"/>
      <c r="I446" s="20"/>
      <c r="J446" s="16"/>
      <c r="K446" s="17"/>
      <c r="L446" s="20"/>
      <c r="M446" s="18"/>
      <c r="N446" s="51"/>
      <c r="O446" s="47"/>
      <c r="Q446" s="139"/>
    </row>
    <row r="447" spans="1:17" s="2" customFormat="1" ht="25.15" hidden="1" customHeight="1" x14ac:dyDescent="0.25">
      <c r="A447" s="139"/>
      <c r="B447" s="106"/>
      <c r="C447" s="179"/>
      <c r="D447" s="170" t="s">
        <v>395</v>
      </c>
      <c r="E447" s="170"/>
      <c r="F447" s="170"/>
      <c r="G447" s="170"/>
      <c r="H447" s="170"/>
      <c r="I447" s="164"/>
      <c r="J447" s="6"/>
      <c r="K447" s="6"/>
      <c r="L447" s="164"/>
      <c r="M447" s="6"/>
      <c r="N447" s="52"/>
      <c r="O447" s="46"/>
      <c r="Q447" s="139"/>
    </row>
    <row r="448" spans="1:17" s="2" customFormat="1" ht="25.15" hidden="1" customHeight="1" x14ac:dyDescent="0.25">
      <c r="A448" s="139"/>
      <c r="B448" s="107"/>
      <c r="C448" s="135">
        <v>34</v>
      </c>
      <c r="D448" s="169" t="s">
        <v>372</v>
      </c>
      <c r="E448" s="170"/>
      <c r="F448" s="170"/>
      <c r="G448" s="170"/>
      <c r="H448" s="170"/>
      <c r="I448" s="25"/>
      <c r="J448" s="6"/>
      <c r="K448" s="6"/>
      <c r="L448" s="26"/>
      <c r="M448" s="6"/>
      <c r="N448" s="52"/>
      <c r="O448" s="46"/>
      <c r="Q448" s="139"/>
    </row>
    <row r="449" spans="1:17" s="2" customFormat="1" ht="25.15" hidden="1" customHeight="1" x14ac:dyDescent="0.25">
      <c r="A449" s="139"/>
      <c r="B449" s="107"/>
      <c r="C449" s="135">
        <v>35</v>
      </c>
      <c r="D449" s="178" t="s">
        <v>373</v>
      </c>
      <c r="E449" s="169"/>
      <c r="F449" s="169"/>
      <c r="G449" s="169"/>
      <c r="H449" s="22" t="s">
        <v>15</v>
      </c>
      <c r="I449" s="25"/>
      <c r="J449" s="23" t="s">
        <v>16</v>
      </c>
      <c r="K449" s="22" t="s">
        <v>15</v>
      </c>
      <c r="L449" s="25"/>
      <c r="M449" s="23" t="s">
        <v>16</v>
      </c>
      <c r="N449" s="52"/>
      <c r="O449" s="46"/>
      <c r="Q449" s="139"/>
    </row>
    <row r="450" spans="1:17" s="2" customFormat="1" ht="25.15" hidden="1" customHeight="1" x14ac:dyDescent="0.25">
      <c r="A450" s="139"/>
      <c r="B450" s="107"/>
      <c r="C450" s="142">
        <v>36</v>
      </c>
      <c r="D450" s="178" t="s">
        <v>346</v>
      </c>
      <c r="E450" s="169"/>
      <c r="F450" s="169"/>
      <c r="G450" s="169"/>
      <c r="H450" s="180"/>
      <c r="I450" s="25"/>
      <c r="J450" s="133"/>
      <c r="K450" s="132"/>
      <c r="L450" s="25"/>
      <c r="M450" s="133"/>
      <c r="N450" s="52"/>
      <c r="O450" s="46"/>
      <c r="Q450" s="139"/>
    </row>
    <row r="451" spans="1:17" s="2" customFormat="1" ht="25.15" hidden="1" customHeight="1" x14ac:dyDescent="0.25">
      <c r="A451" s="139"/>
      <c r="B451" s="106"/>
      <c r="C451" s="142">
        <v>37</v>
      </c>
      <c r="D451" s="169" t="s">
        <v>347</v>
      </c>
      <c r="E451" s="170"/>
      <c r="F451" s="170"/>
      <c r="G451" s="170"/>
      <c r="H451" s="170"/>
      <c r="I451" s="25"/>
      <c r="J451" s="6"/>
      <c r="K451" s="6"/>
      <c r="L451" s="26"/>
      <c r="M451" s="6"/>
      <c r="N451" s="52"/>
      <c r="O451" s="47"/>
      <c r="Q451" s="139"/>
    </row>
    <row r="452" spans="1:17" s="2" customFormat="1" ht="25.15" hidden="1" customHeight="1" x14ac:dyDescent="0.25">
      <c r="A452" s="139"/>
      <c r="B452" s="106"/>
      <c r="C452" s="142">
        <v>38</v>
      </c>
      <c r="D452" s="169" t="s">
        <v>374</v>
      </c>
      <c r="E452" s="170"/>
      <c r="F452" s="170"/>
      <c r="G452" s="170"/>
      <c r="H452" s="170"/>
      <c r="I452" s="25"/>
      <c r="J452" s="6"/>
      <c r="K452" s="6"/>
      <c r="L452" s="26"/>
      <c r="M452" s="6"/>
      <c r="N452" s="52"/>
      <c r="O452" s="46"/>
      <c r="Q452" s="139"/>
    </row>
    <row r="453" spans="1:17" s="2" customFormat="1" ht="25.15" hidden="1" customHeight="1" x14ac:dyDescent="0.25">
      <c r="A453" s="139"/>
      <c r="B453" s="107"/>
      <c r="C453" s="142">
        <v>39</v>
      </c>
      <c r="D453" s="169" t="s">
        <v>348</v>
      </c>
      <c r="E453" s="170"/>
      <c r="F453" s="170"/>
      <c r="G453" s="170"/>
      <c r="H453" s="170"/>
      <c r="I453" s="25"/>
      <c r="J453" s="6"/>
      <c r="K453" s="6"/>
      <c r="L453" s="26"/>
      <c r="M453" s="6"/>
      <c r="N453" s="52"/>
      <c r="O453" s="46"/>
      <c r="Q453" s="139"/>
    </row>
    <row r="454" spans="1:17" s="2" customFormat="1" ht="37.9" hidden="1" customHeight="1" x14ac:dyDescent="0.25">
      <c r="A454" s="139"/>
      <c r="B454" s="107"/>
      <c r="C454" s="142">
        <v>40</v>
      </c>
      <c r="D454" s="134" t="s">
        <v>9</v>
      </c>
      <c r="E454" s="181" t="s">
        <v>349</v>
      </c>
      <c r="F454" s="182"/>
      <c r="G454" s="182"/>
      <c r="H454" s="12"/>
      <c r="I454" s="25"/>
      <c r="J454" s="6"/>
      <c r="K454" s="6"/>
      <c r="L454" s="26"/>
      <c r="M454" s="6"/>
      <c r="N454" s="52"/>
      <c r="O454" s="46"/>
      <c r="Q454" s="139"/>
    </row>
    <row r="455" spans="1:17" s="2" customFormat="1" ht="37.9" hidden="1" customHeight="1" x14ac:dyDescent="0.25">
      <c r="A455" s="139"/>
      <c r="B455" s="106"/>
      <c r="C455" s="142">
        <v>41</v>
      </c>
      <c r="D455" s="73" t="s">
        <v>12</v>
      </c>
      <c r="E455" s="136"/>
      <c r="F455" s="136"/>
      <c r="G455" s="136"/>
      <c r="H455" s="14"/>
      <c r="I455" s="28">
        <f>I448-I449+SUM(I450:I454)</f>
        <v>0</v>
      </c>
      <c r="J455" s="29"/>
      <c r="K455" s="29"/>
      <c r="L455" s="28">
        <f>L448-L449+SUM(L450:L454)</f>
        <v>0</v>
      </c>
      <c r="M455" s="6"/>
      <c r="N455" s="52"/>
      <c r="O455" s="47"/>
      <c r="Q455" s="139"/>
    </row>
    <row r="456" spans="1:17" s="2" customFormat="1" ht="29.45" hidden="1" customHeight="1" x14ac:dyDescent="0.25">
      <c r="A456" s="139"/>
      <c r="B456" s="106"/>
      <c r="C456" s="142">
        <v>42</v>
      </c>
      <c r="D456" s="102" t="s">
        <v>13</v>
      </c>
      <c r="E456" s="13"/>
      <c r="F456" s="13"/>
      <c r="G456" s="13"/>
      <c r="H456" s="14"/>
      <c r="I456" s="30" t="str">
        <f>IFERROR(I455/I447,"N/A")</f>
        <v>N/A</v>
      </c>
      <c r="J456" s="29"/>
      <c r="K456" s="29"/>
      <c r="L456" s="30" t="str">
        <f>IFERROR(L455/L447,"N/A")</f>
        <v>N/A</v>
      </c>
      <c r="M456" s="6"/>
      <c r="N456" s="52"/>
      <c r="O456" s="46"/>
      <c r="Q456" s="139"/>
    </row>
    <row r="457" spans="1:17" s="2" customFormat="1" ht="25.15" hidden="1" customHeight="1" x14ac:dyDescent="0.25">
      <c r="A457" s="139"/>
      <c r="B457" s="107"/>
      <c r="C457" s="142">
        <v>43</v>
      </c>
      <c r="D457" s="15" t="s">
        <v>340</v>
      </c>
      <c r="E457" s="12"/>
      <c r="F457" s="12"/>
      <c r="G457" s="12"/>
      <c r="H457" s="22" t="s">
        <v>15</v>
      </c>
      <c r="I457" s="27"/>
      <c r="J457" s="23" t="s">
        <v>16</v>
      </c>
      <c r="K457" s="22" t="s">
        <v>15</v>
      </c>
      <c r="L457" s="27"/>
      <c r="M457" s="23" t="s">
        <v>16</v>
      </c>
      <c r="N457" s="52"/>
      <c r="O457" s="46"/>
      <c r="Q457" s="139"/>
    </row>
    <row r="458" spans="1:17" s="2" customFormat="1" ht="29.45" hidden="1" customHeight="1" x14ac:dyDescent="0.25">
      <c r="A458" s="139"/>
      <c r="B458" s="107"/>
      <c r="C458" s="142">
        <v>44</v>
      </c>
      <c r="D458" s="103" t="s">
        <v>14</v>
      </c>
      <c r="E458" s="72"/>
      <c r="F458" s="72"/>
      <c r="G458" s="72"/>
      <c r="H458" s="21"/>
      <c r="I458" s="55" t="str">
        <f>IFERROR(I456-I457,"N/A")</f>
        <v>N/A</v>
      </c>
      <c r="J458" s="6"/>
      <c r="K458" s="6"/>
      <c r="L458" s="55" t="str">
        <f>IFERROR(L456-L457,"N/A")</f>
        <v>N/A</v>
      </c>
      <c r="M458" s="6"/>
      <c r="N458" s="52"/>
      <c r="O458" s="47"/>
      <c r="Q458" s="139"/>
    </row>
    <row r="459" spans="1:17" s="2" customFormat="1" ht="29.45" hidden="1" customHeight="1" x14ac:dyDescent="0.25">
      <c r="A459" s="139"/>
      <c r="B459" s="106"/>
      <c r="C459" s="142">
        <v>45</v>
      </c>
      <c r="D459" s="70" t="str">
        <f>"Average NET Monthly Rental Income (Loss) "&amp;IF(AND(ISNUMBER(I447),ISNUMBER(L447)),I447+L447,IF(ISNUMBER(I447),I447,IF(ISNUMBER(L447),L447,"____")))&amp;" months"</f>
        <v>Average NET Monthly Rental Income (Loss) ____ months</v>
      </c>
      <c r="E459" s="74"/>
      <c r="F459" s="74"/>
      <c r="G459" s="74"/>
      <c r="H459" s="75"/>
      <c r="I459" s="76"/>
      <c r="J459" s="168" t="str">
        <f>IF(AND(ISNUMBER(I447),ISNUMBER(L447),ISNUMBER(I458),ISNUMBER(L458)),((I447*I458)+(L447*L458))/(I447+L447),IF(AND(OR(NOT(ISNUMBER(L447)),NOT(ISNUMBER(L458))),ISNUMBER(I447),ISNUMBER(I458)),I458,IF(AND(OR(NOT(ISNUMBER(I447)),NOT(ISNUMBER(I458))),ISNUMBER(L447),ISNUMBER(L458)),L458,"N/A")))</f>
        <v>N/A</v>
      </c>
      <c r="K459" s="168"/>
      <c r="L459" s="76"/>
      <c r="M459" s="77"/>
      <c r="N459" s="78"/>
      <c r="O459" s="47"/>
      <c r="Q459" s="139"/>
    </row>
    <row r="460" spans="1:17" s="2" customFormat="1" ht="9.6" hidden="1" customHeight="1" thickBot="1" x14ac:dyDescent="0.3">
      <c r="A460" s="139"/>
      <c r="B460" s="106"/>
      <c r="C460" s="53"/>
      <c r="D460" s="7"/>
      <c r="E460" s="7"/>
      <c r="F460" s="7"/>
      <c r="G460" s="7"/>
      <c r="H460" s="7"/>
      <c r="I460" s="7"/>
      <c r="J460" s="7"/>
      <c r="K460" s="7"/>
      <c r="L460" s="7"/>
      <c r="M460" s="7"/>
      <c r="N460" s="54"/>
      <c r="O460" s="46"/>
      <c r="Q460" s="139"/>
    </row>
    <row r="461" spans="1:17" s="2" customFormat="1" ht="27" hidden="1" customHeight="1" thickBot="1" x14ac:dyDescent="0.3">
      <c r="A461" s="139"/>
      <c r="B461" s="107"/>
      <c r="C461" s="84"/>
      <c r="D461" s="82" t="s">
        <v>10</v>
      </c>
      <c r="E461" s="176"/>
      <c r="F461" s="176"/>
      <c r="G461" s="176"/>
      <c r="H461" s="176"/>
      <c r="I461" s="176"/>
      <c r="J461" s="176"/>
      <c r="K461" s="176"/>
      <c r="L461" s="177"/>
      <c r="M461" s="24" t="s">
        <v>8</v>
      </c>
      <c r="N461" s="85"/>
      <c r="O461" s="46"/>
      <c r="Q461" s="139"/>
    </row>
    <row r="462" spans="1:17" s="2" customFormat="1" ht="28.15" hidden="1" customHeight="1" x14ac:dyDescent="0.25">
      <c r="A462" s="139"/>
      <c r="B462" s="107"/>
      <c r="C462" s="83" t="s">
        <v>11</v>
      </c>
      <c r="D462" s="93"/>
      <c r="E462" s="94"/>
      <c r="F462" s="94"/>
      <c r="G462" s="95"/>
      <c r="H462" s="96"/>
      <c r="I462" s="97" t="str">
        <f>IF(ISNUMBER($I$8),$I$8,"")</f>
        <v/>
      </c>
      <c r="J462" s="94"/>
      <c r="K462" s="96"/>
      <c r="L462" s="97" t="str">
        <f>IF(ISNUMBER($L$8),$L$8,"")</f>
        <v/>
      </c>
      <c r="M462" s="98"/>
      <c r="N462" s="99"/>
      <c r="O462" s="46"/>
      <c r="Q462" s="139"/>
    </row>
    <row r="463" spans="1:17" s="19" customFormat="1" ht="4.5" hidden="1" customHeight="1" x14ac:dyDescent="0.25">
      <c r="A463" s="139"/>
      <c r="B463" s="106"/>
      <c r="C463" s="179">
        <v>33</v>
      </c>
      <c r="D463" s="16"/>
      <c r="E463" s="16"/>
      <c r="F463" s="16"/>
      <c r="G463" s="16"/>
      <c r="H463" s="17"/>
      <c r="I463" s="20"/>
      <c r="J463" s="16"/>
      <c r="K463" s="17"/>
      <c r="L463" s="20"/>
      <c r="M463" s="18"/>
      <c r="N463" s="51"/>
      <c r="O463" s="47"/>
      <c r="Q463" s="139"/>
    </row>
    <row r="464" spans="1:17" s="2" customFormat="1" ht="25.15" hidden="1" customHeight="1" x14ac:dyDescent="0.25">
      <c r="A464" s="139"/>
      <c r="B464" s="106"/>
      <c r="C464" s="179"/>
      <c r="D464" s="170" t="s">
        <v>395</v>
      </c>
      <c r="E464" s="170"/>
      <c r="F464" s="170"/>
      <c r="G464" s="170"/>
      <c r="H464" s="170"/>
      <c r="I464" s="164"/>
      <c r="J464" s="6"/>
      <c r="K464" s="6"/>
      <c r="L464" s="164"/>
      <c r="M464" s="6"/>
      <c r="N464" s="52"/>
      <c r="O464" s="46"/>
      <c r="Q464" s="139"/>
    </row>
    <row r="465" spans="1:17" s="2" customFormat="1" ht="25.15" hidden="1" customHeight="1" x14ac:dyDescent="0.25">
      <c r="A465" s="139"/>
      <c r="B465" s="107"/>
      <c r="C465" s="135">
        <v>34</v>
      </c>
      <c r="D465" s="169" t="s">
        <v>372</v>
      </c>
      <c r="E465" s="170"/>
      <c r="F465" s="170"/>
      <c r="G465" s="170"/>
      <c r="H465" s="170"/>
      <c r="I465" s="25"/>
      <c r="J465" s="6"/>
      <c r="K465" s="6"/>
      <c r="L465" s="26"/>
      <c r="M465" s="6"/>
      <c r="N465" s="52"/>
      <c r="O465" s="46"/>
      <c r="Q465" s="139"/>
    </row>
    <row r="466" spans="1:17" s="2" customFormat="1" ht="25.15" hidden="1" customHeight="1" x14ac:dyDescent="0.25">
      <c r="A466" s="139"/>
      <c r="B466" s="107"/>
      <c r="C466" s="135">
        <v>35</v>
      </c>
      <c r="D466" s="178" t="s">
        <v>373</v>
      </c>
      <c r="E466" s="169"/>
      <c r="F466" s="169"/>
      <c r="G466" s="169"/>
      <c r="H466" s="22" t="s">
        <v>15</v>
      </c>
      <c r="I466" s="25"/>
      <c r="J466" s="23" t="s">
        <v>16</v>
      </c>
      <c r="K466" s="22" t="s">
        <v>15</v>
      </c>
      <c r="L466" s="25"/>
      <c r="M466" s="23" t="s">
        <v>16</v>
      </c>
      <c r="N466" s="52"/>
      <c r="O466" s="46"/>
      <c r="Q466" s="139"/>
    </row>
    <row r="467" spans="1:17" s="2" customFormat="1" ht="25.15" hidden="1" customHeight="1" x14ac:dyDescent="0.25">
      <c r="A467" s="139"/>
      <c r="B467" s="107"/>
      <c r="C467" s="142">
        <v>36</v>
      </c>
      <c r="D467" s="178" t="s">
        <v>346</v>
      </c>
      <c r="E467" s="169"/>
      <c r="F467" s="169"/>
      <c r="G467" s="169"/>
      <c r="H467" s="180"/>
      <c r="I467" s="25"/>
      <c r="J467" s="133"/>
      <c r="K467" s="132"/>
      <c r="L467" s="25"/>
      <c r="M467" s="133"/>
      <c r="N467" s="52"/>
      <c r="O467" s="46"/>
      <c r="Q467" s="139"/>
    </row>
    <row r="468" spans="1:17" s="2" customFormat="1" ht="25.15" hidden="1" customHeight="1" x14ac:dyDescent="0.25">
      <c r="A468" s="139"/>
      <c r="B468" s="106"/>
      <c r="C468" s="142">
        <v>37</v>
      </c>
      <c r="D468" s="169" t="s">
        <v>347</v>
      </c>
      <c r="E468" s="170"/>
      <c r="F468" s="170"/>
      <c r="G468" s="170"/>
      <c r="H468" s="170"/>
      <c r="I468" s="25"/>
      <c r="J468" s="6"/>
      <c r="K468" s="6"/>
      <c r="L468" s="26"/>
      <c r="M468" s="6"/>
      <c r="N468" s="52"/>
      <c r="O468" s="47"/>
      <c r="Q468" s="139"/>
    </row>
    <row r="469" spans="1:17" s="2" customFormat="1" ht="25.15" hidden="1" customHeight="1" x14ac:dyDescent="0.25">
      <c r="A469" s="139"/>
      <c r="B469" s="106"/>
      <c r="C469" s="142">
        <v>38</v>
      </c>
      <c r="D469" s="169" t="s">
        <v>374</v>
      </c>
      <c r="E469" s="170"/>
      <c r="F469" s="170"/>
      <c r="G469" s="170"/>
      <c r="H469" s="170"/>
      <c r="I469" s="25"/>
      <c r="J469" s="6"/>
      <c r="K469" s="6"/>
      <c r="L469" s="26"/>
      <c r="M469" s="6"/>
      <c r="N469" s="52"/>
      <c r="O469" s="46"/>
      <c r="Q469" s="139"/>
    </row>
    <row r="470" spans="1:17" s="2" customFormat="1" ht="25.15" hidden="1" customHeight="1" x14ac:dyDescent="0.25">
      <c r="A470" s="139"/>
      <c r="B470" s="107"/>
      <c r="C470" s="142">
        <v>39</v>
      </c>
      <c r="D470" s="169" t="s">
        <v>348</v>
      </c>
      <c r="E470" s="170"/>
      <c r="F470" s="170"/>
      <c r="G470" s="170"/>
      <c r="H470" s="170"/>
      <c r="I470" s="25"/>
      <c r="J470" s="6"/>
      <c r="K470" s="6"/>
      <c r="L470" s="26"/>
      <c r="M470" s="6"/>
      <c r="N470" s="52"/>
      <c r="O470" s="46"/>
      <c r="Q470" s="139"/>
    </row>
    <row r="471" spans="1:17" s="2" customFormat="1" ht="37.9" hidden="1" customHeight="1" x14ac:dyDescent="0.25">
      <c r="A471" s="139"/>
      <c r="B471" s="107"/>
      <c r="C471" s="142">
        <v>40</v>
      </c>
      <c r="D471" s="134" t="s">
        <v>9</v>
      </c>
      <c r="E471" s="181" t="s">
        <v>349</v>
      </c>
      <c r="F471" s="182"/>
      <c r="G471" s="182"/>
      <c r="H471" s="12"/>
      <c r="I471" s="25"/>
      <c r="J471" s="6"/>
      <c r="K471" s="6"/>
      <c r="L471" s="26"/>
      <c r="M471" s="6"/>
      <c r="N471" s="52"/>
      <c r="O471" s="46"/>
      <c r="Q471" s="139"/>
    </row>
    <row r="472" spans="1:17" s="2" customFormat="1" ht="37.9" hidden="1" customHeight="1" x14ac:dyDescent="0.25">
      <c r="A472" s="139"/>
      <c r="B472" s="106"/>
      <c r="C472" s="142">
        <v>41</v>
      </c>
      <c r="D472" s="73" t="s">
        <v>12</v>
      </c>
      <c r="E472" s="136"/>
      <c r="F472" s="136"/>
      <c r="G472" s="136"/>
      <c r="H472" s="14"/>
      <c r="I472" s="28">
        <f>I465-I466+SUM(I467:I471)</f>
        <v>0</v>
      </c>
      <c r="J472" s="29"/>
      <c r="K472" s="29"/>
      <c r="L472" s="28">
        <f>L465-L466+SUM(L467:L471)</f>
        <v>0</v>
      </c>
      <c r="M472" s="6"/>
      <c r="N472" s="52"/>
      <c r="O472" s="47"/>
      <c r="Q472" s="139"/>
    </row>
    <row r="473" spans="1:17" s="2" customFormat="1" ht="29.45" hidden="1" customHeight="1" x14ac:dyDescent="0.25">
      <c r="A473" s="139"/>
      <c r="B473" s="106"/>
      <c r="C473" s="142">
        <v>42</v>
      </c>
      <c r="D473" s="102" t="s">
        <v>13</v>
      </c>
      <c r="E473" s="13"/>
      <c r="F473" s="13"/>
      <c r="G473" s="13"/>
      <c r="H473" s="14"/>
      <c r="I473" s="30" t="str">
        <f>IFERROR(I472/I464,"N/A")</f>
        <v>N/A</v>
      </c>
      <c r="J473" s="29"/>
      <c r="K473" s="29"/>
      <c r="L473" s="30" t="str">
        <f>IFERROR(L472/L464,"N/A")</f>
        <v>N/A</v>
      </c>
      <c r="M473" s="6"/>
      <c r="N473" s="52"/>
      <c r="O473" s="46"/>
      <c r="Q473" s="139"/>
    </row>
    <row r="474" spans="1:17" s="2" customFormat="1" ht="25.15" hidden="1" customHeight="1" x14ac:dyDescent="0.25">
      <c r="A474" s="139"/>
      <c r="B474" s="107"/>
      <c r="C474" s="142">
        <v>43</v>
      </c>
      <c r="D474" s="15" t="s">
        <v>340</v>
      </c>
      <c r="E474" s="12"/>
      <c r="F474" s="12"/>
      <c r="G474" s="12"/>
      <c r="H474" s="22" t="s">
        <v>15</v>
      </c>
      <c r="I474" s="27"/>
      <c r="J474" s="23" t="s">
        <v>16</v>
      </c>
      <c r="K474" s="22" t="s">
        <v>15</v>
      </c>
      <c r="L474" s="27"/>
      <c r="M474" s="23" t="s">
        <v>16</v>
      </c>
      <c r="N474" s="52"/>
      <c r="O474" s="46"/>
      <c r="Q474" s="139"/>
    </row>
    <row r="475" spans="1:17" s="2" customFormat="1" ht="29.45" hidden="1" customHeight="1" x14ac:dyDescent="0.25">
      <c r="A475" s="139"/>
      <c r="B475" s="107"/>
      <c r="C475" s="142">
        <v>44</v>
      </c>
      <c r="D475" s="103" t="s">
        <v>14</v>
      </c>
      <c r="E475" s="72"/>
      <c r="F475" s="72"/>
      <c r="G475" s="72"/>
      <c r="H475" s="21"/>
      <c r="I475" s="55" t="str">
        <f>IFERROR(I473-I474,"N/A")</f>
        <v>N/A</v>
      </c>
      <c r="J475" s="6"/>
      <c r="K475" s="6"/>
      <c r="L475" s="55" t="str">
        <f>IFERROR(L473-L474,"N/A")</f>
        <v>N/A</v>
      </c>
      <c r="M475" s="6"/>
      <c r="N475" s="52"/>
      <c r="O475" s="47"/>
      <c r="Q475" s="139"/>
    </row>
    <row r="476" spans="1:17" s="2" customFormat="1" ht="29.45" hidden="1" customHeight="1" x14ac:dyDescent="0.25">
      <c r="A476" s="139"/>
      <c r="B476" s="106"/>
      <c r="C476" s="142">
        <v>45</v>
      </c>
      <c r="D476" s="70" t="str">
        <f>"Average NET Monthly Rental Income (Loss) "&amp;IF(AND(ISNUMBER(I464),ISNUMBER(L464)),I464+L464,IF(ISNUMBER(I464),I464,IF(ISNUMBER(L464),L464,"____")))&amp;" months"</f>
        <v>Average NET Monthly Rental Income (Loss) ____ months</v>
      </c>
      <c r="E476" s="74"/>
      <c r="F476" s="74"/>
      <c r="G476" s="74"/>
      <c r="H476" s="75"/>
      <c r="I476" s="76"/>
      <c r="J476" s="168" t="str">
        <f>IF(AND(ISNUMBER(I464),ISNUMBER(L464),ISNUMBER(I475),ISNUMBER(L475)),((I464*I475)+(L464*L475))/(I464+L464),IF(AND(OR(NOT(ISNUMBER(L464)),NOT(ISNUMBER(L475))),ISNUMBER(I464),ISNUMBER(I475)),I475,IF(AND(OR(NOT(ISNUMBER(I464)),NOT(ISNUMBER(I475))),ISNUMBER(L464),ISNUMBER(L475)),L475,"N/A")))</f>
        <v>N/A</v>
      </c>
      <c r="K476" s="168"/>
      <c r="L476" s="76"/>
      <c r="M476" s="77"/>
      <c r="N476" s="78"/>
      <c r="O476" s="47"/>
      <c r="Q476" s="139"/>
    </row>
    <row r="477" spans="1:17" s="2" customFormat="1" ht="9.6" hidden="1" customHeight="1" thickBot="1" x14ac:dyDescent="0.3">
      <c r="A477" s="139"/>
      <c r="B477" s="106"/>
      <c r="C477" s="53"/>
      <c r="D477" s="7"/>
      <c r="E477" s="7"/>
      <c r="F477" s="7"/>
      <c r="G477" s="7"/>
      <c r="H477" s="7"/>
      <c r="I477" s="7"/>
      <c r="J477" s="7"/>
      <c r="K477" s="7"/>
      <c r="L477" s="7"/>
      <c r="M477" s="7"/>
      <c r="N477" s="54"/>
      <c r="O477" s="46"/>
      <c r="Q477" s="139"/>
    </row>
    <row r="478" spans="1:17" s="2" customFormat="1" ht="27" hidden="1" customHeight="1" thickBot="1" x14ac:dyDescent="0.3">
      <c r="A478" s="139"/>
      <c r="B478" s="107"/>
      <c r="C478" s="84"/>
      <c r="D478" s="82" t="s">
        <v>10</v>
      </c>
      <c r="E478" s="176"/>
      <c r="F478" s="176"/>
      <c r="G478" s="176"/>
      <c r="H478" s="176"/>
      <c r="I478" s="176"/>
      <c r="J478" s="176"/>
      <c r="K478" s="176"/>
      <c r="L478" s="177"/>
      <c r="M478" s="24" t="s">
        <v>8</v>
      </c>
      <c r="N478" s="85"/>
      <c r="O478" s="46"/>
      <c r="Q478" s="139"/>
    </row>
    <row r="479" spans="1:17" s="2" customFormat="1" ht="28.15" hidden="1" customHeight="1" x14ac:dyDescent="0.25">
      <c r="A479" s="139"/>
      <c r="B479" s="107"/>
      <c r="C479" s="83" t="s">
        <v>11</v>
      </c>
      <c r="D479" s="93"/>
      <c r="E479" s="94"/>
      <c r="F479" s="94"/>
      <c r="G479" s="95"/>
      <c r="H479" s="96"/>
      <c r="I479" s="97" t="str">
        <f>IF(ISNUMBER($I$8),$I$8,"")</f>
        <v/>
      </c>
      <c r="J479" s="94"/>
      <c r="K479" s="96"/>
      <c r="L479" s="97" t="str">
        <f>IF(ISNUMBER($L$8),$L$8,"")</f>
        <v/>
      </c>
      <c r="M479" s="98"/>
      <c r="N479" s="99"/>
      <c r="O479" s="46"/>
      <c r="Q479" s="139"/>
    </row>
    <row r="480" spans="1:17" s="19" customFormat="1" ht="4.5" hidden="1" customHeight="1" x14ac:dyDescent="0.25">
      <c r="A480" s="139"/>
      <c r="B480" s="106"/>
      <c r="C480" s="179">
        <v>33</v>
      </c>
      <c r="D480" s="16"/>
      <c r="E480" s="16"/>
      <c r="F480" s="16"/>
      <c r="G480" s="16"/>
      <c r="H480" s="17"/>
      <c r="I480" s="20"/>
      <c r="J480" s="16"/>
      <c r="K480" s="17"/>
      <c r="L480" s="20"/>
      <c r="M480" s="18"/>
      <c r="N480" s="51"/>
      <c r="O480" s="47"/>
      <c r="Q480" s="139"/>
    </row>
    <row r="481" spans="1:17" s="2" customFormat="1" ht="25.15" hidden="1" customHeight="1" x14ac:dyDescent="0.25">
      <c r="A481" s="139"/>
      <c r="B481" s="106"/>
      <c r="C481" s="179"/>
      <c r="D481" s="170" t="s">
        <v>395</v>
      </c>
      <c r="E481" s="170"/>
      <c r="F481" s="170"/>
      <c r="G481" s="170"/>
      <c r="H481" s="170"/>
      <c r="I481" s="164"/>
      <c r="J481" s="6"/>
      <c r="K481" s="6"/>
      <c r="L481" s="164"/>
      <c r="M481" s="6"/>
      <c r="N481" s="52"/>
      <c r="O481" s="46"/>
      <c r="Q481" s="139"/>
    </row>
    <row r="482" spans="1:17" s="2" customFormat="1" ht="25.15" hidden="1" customHeight="1" x14ac:dyDescent="0.25">
      <c r="A482" s="139"/>
      <c r="B482" s="107"/>
      <c r="C482" s="135">
        <v>34</v>
      </c>
      <c r="D482" s="169" t="s">
        <v>372</v>
      </c>
      <c r="E482" s="170"/>
      <c r="F482" s="170"/>
      <c r="G482" s="170"/>
      <c r="H482" s="170"/>
      <c r="I482" s="25"/>
      <c r="J482" s="6"/>
      <c r="K482" s="6"/>
      <c r="L482" s="26"/>
      <c r="M482" s="6"/>
      <c r="N482" s="52"/>
      <c r="O482" s="46"/>
      <c r="Q482" s="139"/>
    </row>
    <row r="483" spans="1:17" s="2" customFormat="1" ht="25.15" hidden="1" customHeight="1" x14ac:dyDescent="0.25">
      <c r="A483" s="139"/>
      <c r="B483" s="107"/>
      <c r="C483" s="135">
        <v>35</v>
      </c>
      <c r="D483" s="178" t="s">
        <v>373</v>
      </c>
      <c r="E483" s="169"/>
      <c r="F483" s="169"/>
      <c r="G483" s="169"/>
      <c r="H483" s="22" t="s">
        <v>15</v>
      </c>
      <c r="I483" s="25"/>
      <c r="J483" s="23" t="s">
        <v>16</v>
      </c>
      <c r="K483" s="22" t="s">
        <v>15</v>
      </c>
      <c r="L483" s="25"/>
      <c r="M483" s="23" t="s">
        <v>16</v>
      </c>
      <c r="N483" s="52"/>
      <c r="O483" s="46"/>
      <c r="Q483" s="139"/>
    </row>
    <row r="484" spans="1:17" s="2" customFormat="1" ht="25.15" hidden="1" customHeight="1" x14ac:dyDescent="0.25">
      <c r="A484" s="139"/>
      <c r="B484" s="107"/>
      <c r="C484" s="142">
        <v>36</v>
      </c>
      <c r="D484" s="178" t="s">
        <v>346</v>
      </c>
      <c r="E484" s="169"/>
      <c r="F484" s="169"/>
      <c r="G484" s="169"/>
      <c r="H484" s="180"/>
      <c r="I484" s="25"/>
      <c r="J484" s="133"/>
      <c r="K484" s="132"/>
      <c r="L484" s="25"/>
      <c r="M484" s="133"/>
      <c r="N484" s="52"/>
      <c r="O484" s="46"/>
      <c r="Q484" s="139"/>
    </row>
    <row r="485" spans="1:17" s="2" customFormat="1" ht="25.15" hidden="1" customHeight="1" x14ac:dyDescent="0.25">
      <c r="A485" s="139"/>
      <c r="B485" s="106"/>
      <c r="C485" s="142">
        <v>37</v>
      </c>
      <c r="D485" s="169" t="s">
        <v>347</v>
      </c>
      <c r="E485" s="170"/>
      <c r="F485" s="170"/>
      <c r="G485" s="170"/>
      <c r="H485" s="170"/>
      <c r="I485" s="25"/>
      <c r="J485" s="6"/>
      <c r="K485" s="6"/>
      <c r="L485" s="26"/>
      <c r="M485" s="6"/>
      <c r="N485" s="52"/>
      <c r="O485" s="47"/>
      <c r="Q485" s="139"/>
    </row>
    <row r="486" spans="1:17" s="2" customFormat="1" ht="25.15" hidden="1" customHeight="1" x14ac:dyDescent="0.25">
      <c r="A486" s="139"/>
      <c r="B486" s="106"/>
      <c r="C486" s="142">
        <v>38</v>
      </c>
      <c r="D486" s="169" t="s">
        <v>374</v>
      </c>
      <c r="E486" s="170"/>
      <c r="F486" s="170"/>
      <c r="G486" s="170"/>
      <c r="H486" s="170"/>
      <c r="I486" s="25"/>
      <c r="J486" s="6"/>
      <c r="K486" s="6"/>
      <c r="L486" s="26"/>
      <c r="M486" s="6"/>
      <c r="N486" s="52"/>
      <c r="O486" s="46"/>
      <c r="Q486" s="139"/>
    </row>
    <row r="487" spans="1:17" s="2" customFormat="1" ht="25.15" hidden="1" customHeight="1" x14ac:dyDescent="0.25">
      <c r="A487" s="139"/>
      <c r="B487" s="107"/>
      <c r="C487" s="142">
        <v>39</v>
      </c>
      <c r="D487" s="169" t="s">
        <v>348</v>
      </c>
      <c r="E487" s="170"/>
      <c r="F487" s="170"/>
      <c r="G487" s="170"/>
      <c r="H487" s="170"/>
      <c r="I487" s="25"/>
      <c r="J487" s="6"/>
      <c r="K487" s="6"/>
      <c r="L487" s="26"/>
      <c r="M487" s="6"/>
      <c r="N487" s="52"/>
      <c r="O487" s="46"/>
      <c r="Q487" s="139"/>
    </row>
    <row r="488" spans="1:17" s="2" customFormat="1" ht="37.9" hidden="1" customHeight="1" x14ac:dyDescent="0.25">
      <c r="A488" s="139"/>
      <c r="B488" s="107"/>
      <c r="C488" s="142">
        <v>40</v>
      </c>
      <c r="D488" s="134" t="s">
        <v>9</v>
      </c>
      <c r="E488" s="181" t="s">
        <v>349</v>
      </c>
      <c r="F488" s="182"/>
      <c r="G488" s="182"/>
      <c r="H488" s="12"/>
      <c r="I488" s="25"/>
      <c r="J488" s="6"/>
      <c r="K488" s="6"/>
      <c r="L488" s="26"/>
      <c r="M488" s="6"/>
      <c r="N488" s="52"/>
      <c r="O488" s="46"/>
      <c r="Q488" s="139"/>
    </row>
    <row r="489" spans="1:17" s="2" customFormat="1" ht="37.9" hidden="1" customHeight="1" x14ac:dyDescent="0.25">
      <c r="A489" s="139"/>
      <c r="B489" s="106"/>
      <c r="C489" s="142">
        <v>41</v>
      </c>
      <c r="D489" s="73" t="s">
        <v>12</v>
      </c>
      <c r="E489" s="136"/>
      <c r="F489" s="136"/>
      <c r="G489" s="136"/>
      <c r="H489" s="14"/>
      <c r="I489" s="28">
        <f>I482-I483+SUM(I484:I488)</f>
        <v>0</v>
      </c>
      <c r="J489" s="29"/>
      <c r="K489" s="29"/>
      <c r="L489" s="28">
        <f>L482-L483+SUM(L484:L488)</f>
        <v>0</v>
      </c>
      <c r="M489" s="6"/>
      <c r="N489" s="52"/>
      <c r="O489" s="47"/>
      <c r="Q489" s="139"/>
    </row>
    <row r="490" spans="1:17" s="2" customFormat="1" ht="29.45" hidden="1" customHeight="1" x14ac:dyDescent="0.25">
      <c r="A490" s="139"/>
      <c r="B490" s="106"/>
      <c r="C490" s="142">
        <v>42</v>
      </c>
      <c r="D490" s="102" t="s">
        <v>13</v>
      </c>
      <c r="E490" s="13"/>
      <c r="F490" s="13"/>
      <c r="G490" s="13"/>
      <c r="H490" s="14"/>
      <c r="I490" s="30" t="str">
        <f>IFERROR(I489/I481,"N/A")</f>
        <v>N/A</v>
      </c>
      <c r="J490" s="29"/>
      <c r="K490" s="29"/>
      <c r="L490" s="30" t="str">
        <f>IFERROR(L489/L481,"N/A")</f>
        <v>N/A</v>
      </c>
      <c r="M490" s="6"/>
      <c r="N490" s="52"/>
      <c r="O490" s="46"/>
      <c r="Q490" s="139"/>
    </row>
    <row r="491" spans="1:17" s="2" customFormat="1" ht="25.15" hidden="1" customHeight="1" x14ac:dyDescent="0.25">
      <c r="A491" s="139"/>
      <c r="B491" s="107"/>
      <c r="C491" s="142">
        <v>43</v>
      </c>
      <c r="D491" s="15" t="s">
        <v>340</v>
      </c>
      <c r="E491" s="12"/>
      <c r="F491" s="12"/>
      <c r="G491" s="12"/>
      <c r="H491" s="22" t="s">
        <v>15</v>
      </c>
      <c r="I491" s="27"/>
      <c r="J491" s="23" t="s">
        <v>16</v>
      </c>
      <c r="K491" s="22" t="s">
        <v>15</v>
      </c>
      <c r="L491" s="27"/>
      <c r="M491" s="23" t="s">
        <v>16</v>
      </c>
      <c r="N491" s="52"/>
      <c r="O491" s="46"/>
      <c r="Q491" s="139"/>
    </row>
    <row r="492" spans="1:17" s="2" customFormat="1" ht="29.45" hidden="1" customHeight="1" x14ac:dyDescent="0.25">
      <c r="A492" s="139"/>
      <c r="B492" s="107"/>
      <c r="C492" s="142">
        <v>44</v>
      </c>
      <c r="D492" s="103" t="s">
        <v>14</v>
      </c>
      <c r="E492" s="72"/>
      <c r="F492" s="72"/>
      <c r="G492" s="72"/>
      <c r="H492" s="21"/>
      <c r="I492" s="55" t="str">
        <f>IFERROR(I490-I491,"N/A")</f>
        <v>N/A</v>
      </c>
      <c r="J492" s="6"/>
      <c r="K492" s="6"/>
      <c r="L492" s="55" t="str">
        <f>IFERROR(L490-L491,"N/A")</f>
        <v>N/A</v>
      </c>
      <c r="M492" s="6"/>
      <c r="N492" s="52"/>
      <c r="O492" s="47"/>
      <c r="Q492" s="139"/>
    </row>
    <row r="493" spans="1:17" s="2" customFormat="1" ht="29.45" hidden="1" customHeight="1" x14ac:dyDescent="0.25">
      <c r="A493" s="139"/>
      <c r="B493" s="106"/>
      <c r="C493" s="142">
        <v>45</v>
      </c>
      <c r="D493" s="70" t="str">
        <f>"Average NET Monthly Rental Income (Loss) "&amp;IF(AND(ISNUMBER(I481),ISNUMBER(L481)),I481+L481,IF(ISNUMBER(I481),I481,IF(ISNUMBER(L481),L481,"____")))&amp;" months"</f>
        <v>Average NET Monthly Rental Income (Loss) ____ months</v>
      </c>
      <c r="E493" s="74"/>
      <c r="F493" s="74"/>
      <c r="G493" s="74"/>
      <c r="H493" s="75"/>
      <c r="I493" s="76"/>
      <c r="J493" s="168" t="str">
        <f>IF(AND(ISNUMBER(I481),ISNUMBER(L481),ISNUMBER(I492),ISNUMBER(L492)),((I481*I492)+(L481*L492))/(I481+L481),IF(AND(OR(NOT(ISNUMBER(L481)),NOT(ISNUMBER(L492))),ISNUMBER(I481),ISNUMBER(I492)),I492,IF(AND(OR(NOT(ISNUMBER(I481)),NOT(ISNUMBER(I492))),ISNUMBER(L481),ISNUMBER(L492)),L492,"N/A")))</f>
        <v>N/A</v>
      </c>
      <c r="K493" s="168"/>
      <c r="L493" s="76"/>
      <c r="M493" s="77"/>
      <c r="N493" s="78"/>
      <c r="O493" s="47"/>
      <c r="Q493" s="139"/>
    </row>
    <row r="494" spans="1:17" s="2" customFormat="1" ht="9.6" hidden="1" customHeight="1" thickBot="1" x14ac:dyDescent="0.3">
      <c r="A494" s="139"/>
      <c r="B494" s="106"/>
      <c r="C494" s="53"/>
      <c r="D494" s="7"/>
      <c r="E494" s="7"/>
      <c r="F494" s="7"/>
      <c r="G494" s="7"/>
      <c r="H494" s="7"/>
      <c r="I494" s="7"/>
      <c r="J494" s="7"/>
      <c r="K494" s="7"/>
      <c r="L494" s="7"/>
      <c r="M494" s="7"/>
      <c r="N494" s="54"/>
      <c r="O494" s="46"/>
      <c r="Q494" s="139"/>
    </row>
    <row r="495" spans="1:17" s="2" customFormat="1" ht="27" hidden="1" customHeight="1" thickBot="1" x14ac:dyDescent="0.3">
      <c r="A495" s="139"/>
      <c r="B495" s="107"/>
      <c r="C495" s="84"/>
      <c r="D495" s="82" t="s">
        <v>10</v>
      </c>
      <c r="E495" s="176"/>
      <c r="F495" s="176"/>
      <c r="G495" s="176"/>
      <c r="H495" s="176"/>
      <c r="I495" s="176"/>
      <c r="J495" s="176"/>
      <c r="K495" s="176"/>
      <c r="L495" s="177"/>
      <c r="M495" s="24" t="s">
        <v>8</v>
      </c>
      <c r="N495" s="85"/>
      <c r="O495" s="46"/>
      <c r="Q495" s="139"/>
    </row>
    <row r="496" spans="1:17" s="2" customFormat="1" ht="28.15" hidden="1" customHeight="1" x14ac:dyDescent="0.25">
      <c r="A496" s="139"/>
      <c r="B496" s="107"/>
      <c r="C496" s="83" t="s">
        <v>11</v>
      </c>
      <c r="D496" s="93"/>
      <c r="E496" s="94"/>
      <c r="F496" s="94"/>
      <c r="G496" s="95"/>
      <c r="H496" s="96"/>
      <c r="I496" s="97" t="str">
        <f>IF(ISNUMBER($I$8),$I$8,"")</f>
        <v/>
      </c>
      <c r="J496" s="94"/>
      <c r="K496" s="96"/>
      <c r="L496" s="97" t="str">
        <f>IF(ISNUMBER($L$8),$L$8,"")</f>
        <v/>
      </c>
      <c r="M496" s="98"/>
      <c r="N496" s="99"/>
      <c r="O496" s="46"/>
      <c r="Q496" s="139"/>
    </row>
    <row r="497" spans="1:17" s="19" customFormat="1" ht="4.5" hidden="1" customHeight="1" x14ac:dyDescent="0.25">
      <c r="A497" s="139"/>
      <c r="B497" s="106"/>
      <c r="C497" s="179">
        <v>33</v>
      </c>
      <c r="D497" s="16"/>
      <c r="E497" s="16"/>
      <c r="F497" s="16"/>
      <c r="G497" s="16"/>
      <c r="H497" s="17"/>
      <c r="I497" s="20"/>
      <c r="J497" s="16"/>
      <c r="K497" s="17"/>
      <c r="L497" s="20"/>
      <c r="M497" s="18"/>
      <c r="N497" s="51"/>
      <c r="O497" s="47"/>
      <c r="Q497" s="139"/>
    </row>
    <row r="498" spans="1:17" s="2" customFormat="1" ht="25.15" hidden="1" customHeight="1" x14ac:dyDescent="0.25">
      <c r="A498" s="139"/>
      <c r="B498" s="106"/>
      <c r="C498" s="179"/>
      <c r="D498" s="170" t="s">
        <v>395</v>
      </c>
      <c r="E498" s="170"/>
      <c r="F498" s="170"/>
      <c r="G498" s="170"/>
      <c r="H498" s="170"/>
      <c r="I498" s="164"/>
      <c r="J498" s="6"/>
      <c r="K498" s="6"/>
      <c r="L498" s="164"/>
      <c r="M498" s="6"/>
      <c r="N498" s="52"/>
      <c r="O498" s="46"/>
      <c r="Q498" s="139"/>
    </row>
    <row r="499" spans="1:17" s="2" customFormat="1" ht="25.15" hidden="1" customHeight="1" x14ac:dyDescent="0.25">
      <c r="A499" s="139"/>
      <c r="B499" s="107"/>
      <c r="C499" s="135">
        <v>34</v>
      </c>
      <c r="D499" s="169" t="s">
        <v>372</v>
      </c>
      <c r="E499" s="170"/>
      <c r="F499" s="170"/>
      <c r="G499" s="170"/>
      <c r="H499" s="170"/>
      <c r="I499" s="25"/>
      <c r="J499" s="6"/>
      <c r="K499" s="6"/>
      <c r="L499" s="26"/>
      <c r="M499" s="6"/>
      <c r="N499" s="52"/>
      <c r="O499" s="46"/>
      <c r="Q499" s="139"/>
    </row>
    <row r="500" spans="1:17" s="2" customFormat="1" ht="25.15" hidden="1" customHeight="1" x14ac:dyDescent="0.25">
      <c r="A500" s="139"/>
      <c r="B500" s="107"/>
      <c r="C500" s="135">
        <v>35</v>
      </c>
      <c r="D500" s="178" t="s">
        <v>373</v>
      </c>
      <c r="E500" s="169"/>
      <c r="F500" s="169"/>
      <c r="G500" s="169"/>
      <c r="H500" s="22" t="s">
        <v>15</v>
      </c>
      <c r="I500" s="25"/>
      <c r="J500" s="23" t="s">
        <v>16</v>
      </c>
      <c r="K500" s="22" t="s">
        <v>15</v>
      </c>
      <c r="L500" s="25"/>
      <c r="M500" s="23" t="s">
        <v>16</v>
      </c>
      <c r="N500" s="52"/>
      <c r="O500" s="46"/>
      <c r="Q500" s="139"/>
    </row>
    <row r="501" spans="1:17" s="2" customFormat="1" ht="25.15" hidden="1" customHeight="1" x14ac:dyDescent="0.25">
      <c r="A501" s="139"/>
      <c r="B501" s="107"/>
      <c r="C501" s="142">
        <v>36</v>
      </c>
      <c r="D501" s="178" t="s">
        <v>346</v>
      </c>
      <c r="E501" s="169"/>
      <c r="F501" s="169"/>
      <c r="G501" s="169"/>
      <c r="H501" s="180"/>
      <c r="I501" s="25"/>
      <c r="J501" s="133"/>
      <c r="K501" s="132"/>
      <c r="L501" s="25"/>
      <c r="M501" s="133"/>
      <c r="N501" s="52"/>
      <c r="O501" s="46"/>
      <c r="Q501" s="139"/>
    </row>
    <row r="502" spans="1:17" s="2" customFormat="1" ht="25.15" hidden="1" customHeight="1" x14ac:dyDescent="0.25">
      <c r="A502" s="139"/>
      <c r="B502" s="106"/>
      <c r="C502" s="142">
        <v>37</v>
      </c>
      <c r="D502" s="169" t="s">
        <v>347</v>
      </c>
      <c r="E502" s="170"/>
      <c r="F502" s="170"/>
      <c r="G502" s="170"/>
      <c r="H502" s="170"/>
      <c r="I502" s="25"/>
      <c r="J502" s="6"/>
      <c r="K502" s="6"/>
      <c r="L502" s="26"/>
      <c r="M502" s="6"/>
      <c r="N502" s="52"/>
      <c r="O502" s="47"/>
      <c r="Q502" s="139"/>
    </row>
    <row r="503" spans="1:17" s="2" customFormat="1" ht="25.15" hidden="1" customHeight="1" x14ac:dyDescent="0.25">
      <c r="A503" s="139"/>
      <c r="B503" s="106"/>
      <c r="C503" s="142">
        <v>38</v>
      </c>
      <c r="D503" s="169" t="s">
        <v>374</v>
      </c>
      <c r="E503" s="170"/>
      <c r="F503" s="170"/>
      <c r="G503" s="170"/>
      <c r="H503" s="170"/>
      <c r="I503" s="25"/>
      <c r="J503" s="6"/>
      <c r="K503" s="6"/>
      <c r="L503" s="26"/>
      <c r="M503" s="6"/>
      <c r="N503" s="52"/>
      <c r="O503" s="46"/>
      <c r="Q503" s="139"/>
    </row>
    <row r="504" spans="1:17" s="2" customFormat="1" ht="25.15" hidden="1" customHeight="1" x14ac:dyDescent="0.25">
      <c r="A504" s="139"/>
      <c r="B504" s="107"/>
      <c r="C504" s="142">
        <v>39</v>
      </c>
      <c r="D504" s="169" t="s">
        <v>348</v>
      </c>
      <c r="E504" s="170"/>
      <c r="F504" s="170"/>
      <c r="G504" s="170"/>
      <c r="H504" s="170"/>
      <c r="I504" s="25"/>
      <c r="J504" s="6"/>
      <c r="K504" s="6"/>
      <c r="L504" s="26"/>
      <c r="M504" s="6"/>
      <c r="N504" s="52"/>
      <c r="O504" s="46"/>
      <c r="Q504" s="139"/>
    </row>
    <row r="505" spans="1:17" s="2" customFormat="1" ht="37.9" hidden="1" customHeight="1" x14ac:dyDescent="0.25">
      <c r="A505" s="139"/>
      <c r="B505" s="107"/>
      <c r="C505" s="142">
        <v>40</v>
      </c>
      <c r="D505" s="134" t="s">
        <v>9</v>
      </c>
      <c r="E505" s="181" t="s">
        <v>349</v>
      </c>
      <c r="F505" s="182"/>
      <c r="G505" s="182"/>
      <c r="H505" s="12"/>
      <c r="I505" s="25"/>
      <c r="J505" s="6"/>
      <c r="K505" s="6"/>
      <c r="L505" s="26"/>
      <c r="M505" s="6"/>
      <c r="N505" s="52"/>
      <c r="O505" s="46"/>
      <c r="Q505" s="139"/>
    </row>
    <row r="506" spans="1:17" s="2" customFormat="1" ht="37.9" hidden="1" customHeight="1" x14ac:dyDescent="0.25">
      <c r="A506" s="139"/>
      <c r="B506" s="106"/>
      <c r="C506" s="142">
        <v>41</v>
      </c>
      <c r="D506" s="73" t="s">
        <v>12</v>
      </c>
      <c r="E506" s="136"/>
      <c r="F506" s="136"/>
      <c r="G506" s="136"/>
      <c r="H506" s="14"/>
      <c r="I506" s="28">
        <f>I499-I500+SUM(I501:I505)</f>
        <v>0</v>
      </c>
      <c r="J506" s="29"/>
      <c r="K506" s="29"/>
      <c r="L506" s="28">
        <f>L499-L500+SUM(L501:L505)</f>
        <v>0</v>
      </c>
      <c r="M506" s="6"/>
      <c r="N506" s="52"/>
      <c r="O506" s="47"/>
      <c r="Q506" s="139"/>
    </row>
    <row r="507" spans="1:17" s="2" customFormat="1" ht="29.45" hidden="1" customHeight="1" x14ac:dyDescent="0.25">
      <c r="A507" s="139"/>
      <c r="B507" s="106"/>
      <c r="C507" s="142">
        <v>42</v>
      </c>
      <c r="D507" s="102" t="s">
        <v>13</v>
      </c>
      <c r="E507" s="13"/>
      <c r="F507" s="13"/>
      <c r="G507" s="13"/>
      <c r="H507" s="14"/>
      <c r="I507" s="30" t="str">
        <f>IFERROR(I506/I498,"N/A")</f>
        <v>N/A</v>
      </c>
      <c r="J507" s="29"/>
      <c r="K507" s="29"/>
      <c r="L507" s="30" t="str">
        <f>IFERROR(L506/L498,"N/A")</f>
        <v>N/A</v>
      </c>
      <c r="M507" s="6"/>
      <c r="N507" s="52"/>
      <c r="O507" s="46"/>
      <c r="Q507" s="139"/>
    </row>
    <row r="508" spans="1:17" s="2" customFormat="1" ht="25.15" hidden="1" customHeight="1" x14ac:dyDescent="0.25">
      <c r="A508" s="139"/>
      <c r="B508" s="107"/>
      <c r="C508" s="142">
        <v>43</v>
      </c>
      <c r="D508" s="15" t="s">
        <v>340</v>
      </c>
      <c r="E508" s="12"/>
      <c r="F508" s="12"/>
      <c r="G508" s="12"/>
      <c r="H508" s="22" t="s">
        <v>15</v>
      </c>
      <c r="I508" s="27"/>
      <c r="J508" s="23" t="s">
        <v>16</v>
      </c>
      <c r="K508" s="22" t="s">
        <v>15</v>
      </c>
      <c r="L508" s="27"/>
      <c r="M508" s="23" t="s">
        <v>16</v>
      </c>
      <c r="N508" s="52"/>
      <c r="O508" s="46"/>
      <c r="Q508" s="139"/>
    </row>
    <row r="509" spans="1:17" s="2" customFormat="1" ht="29.45" hidden="1" customHeight="1" x14ac:dyDescent="0.25">
      <c r="A509" s="139"/>
      <c r="B509" s="107"/>
      <c r="C509" s="142">
        <v>44</v>
      </c>
      <c r="D509" s="103" t="s">
        <v>14</v>
      </c>
      <c r="E509" s="72"/>
      <c r="F509" s="72"/>
      <c r="G509" s="72"/>
      <c r="H509" s="21"/>
      <c r="I509" s="55" t="str">
        <f>IFERROR(I507-I508,"N/A")</f>
        <v>N/A</v>
      </c>
      <c r="J509" s="6"/>
      <c r="K509" s="6"/>
      <c r="L509" s="55" t="str">
        <f>IFERROR(L507-L508,"N/A")</f>
        <v>N/A</v>
      </c>
      <c r="M509" s="6"/>
      <c r="N509" s="52"/>
      <c r="O509" s="47"/>
      <c r="Q509" s="139"/>
    </row>
    <row r="510" spans="1:17" s="2" customFormat="1" ht="29.45" hidden="1" customHeight="1" x14ac:dyDescent="0.25">
      <c r="A510" s="139"/>
      <c r="B510" s="106"/>
      <c r="C510" s="142">
        <v>45</v>
      </c>
      <c r="D510" s="70" t="str">
        <f>"Average NET Monthly Rental Income (Loss) "&amp;IF(AND(ISNUMBER(I498),ISNUMBER(L498)),I498+L498,IF(ISNUMBER(I498),I498,IF(ISNUMBER(L498),L498,"____")))&amp;" months"</f>
        <v>Average NET Monthly Rental Income (Loss) ____ months</v>
      </c>
      <c r="E510" s="74"/>
      <c r="F510" s="74"/>
      <c r="G510" s="74"/>
      <c r="H510" s="75"/>
      <c r="I510" s="76"/>
      <c r="J510" s="168" t="str">
        <f>IF(AND(ISNUMBER(I498),ISNUMBER(L498),ISNUMBER(I509),ISNUMBER(L509)),((I498*I509)+(L498*L509))/(I498+L498),IF(AND(OR(NOT(ISNUMBER(L498)),NOT(ISNUMBER(L509))),ISNUMBER(I498),ISNUMBER(I509)),I509,IF(AND(OR(NOT(ISNUMBER(I498)),NOT(ISNUMBER(I509))),ISNUMBER(L498),ISNUMBER(L509)),L509,"N/A")))</f>
        <v>N/A</v>
      </c>
      <c r="K510" s="168"/>
      <c r="L510" s="76"/>
      <c r="M510" s="77"/>
      <c r="N510" s="78"/>
      <c r="O510" s="47"/>
      <c r="Q510" s="139"/>
    </row>
    <row r="511" spans="1:17" s="2" customFormat="1" ht="9.6" hidden="1" customHeight="1" thickBot="1" x14ac:dyDescent="0.3">
      <c r="A511" s="139"/>
      <c r="B511" s="106"/>
      <c r="C511" s="53"/>
      <c r="D511" s="7"/>
      <c r="E511" s="7"/>
      <c r="F511" s="7"/>
      <c r="G511" s="7"/>
      <c r="H511" s="7"/>
      <c r="I511" s="7"/>
      <c r="J511" s="7"/>
      <c r="K511" s="7"/>
      <c r="L511" s="7"/>
      <c r="M511" s="7"/>
      <c r="N511" s="54"/>
      <c r="O511" s="46"/>
      <c r="Q511" s="139"/>
    </row>
    <row r="512" spans="1:17" s="2" customFormat="1" ht="27" hidden="1" customHeight="1" thickBot="1" x14ac:dyDescent="0.3">
      <c r="A512" s="139"/>
      <c r="B512" s="107"/>
      <c r="C512" s="84"/>
      <c r="D512" s="82" t="s">
        <v>10</v>
      </c>
      <c r="E512" s="176"/>
      <c r="F512" s="176"/>
      <c r="G512" s="176"/>
      <c r="H512" s="176"/>
      <c r="I512" s="176"/>
      <c r="J512" s="176"/>
      <c r="K512" s="176"/>
      <c r="L512" s="177"/>
      <c r="M512" s="24" t="s">
        <v>8</v>
      </c>
      <c r="N512" s="85"/>
      <c r="O512" s="46"/>
      <c r="Q512" s="139"/>
    </row>
    <row r="513" spans="1:17" s="2" customFormat="1" ht="28.15" hidden="1" customHeight="1" x14ac:dyDescent="0.25">
      <c r="A513" s="139"/>
      <c r="B513" s="107"/>
      <c r="C513" s="83" t="s">
        <v>11</v>
      </c>
      <c r="D513" s="93"/>
      <c r="E513" s="94"/>
      <c r="F513" s="94"/>
      <c r="G513" s="95"/>
      <c r="H513" s="96"/>
      <c r="I513" s="97" t="str">
        <f>IF(ISNUMBER($I$8),$I$8,"")</f>
        <v/>
      </c>
      <c r="J513" s="94"/>
      <c r="K513" s="96"/>
      <c r="L513" s="97" t="str">
        <f>IF(ISNUMBER($L$8),$L$8,"")</f>
        <v/>
      </c>
      <c r="M513" s="98"/>
      <c r="N513" s="99"/>
      <c r="O513" s="46"/>
      <c r="Q513" s="139"/>
    </row>
    <row r="514" spans="1:17" s="19" customFormat="1" ht="4.5" hidden="1" customHeight="1" x14ac:dyDescent="0.25">
      <c r="A514" s="139"/>
      <c r="B514" s="106"/>
      <c r="C514" s="179">
        <v>33</v>
      </c>
      <c r="D514" s="16"/>
      <c r="E514" s="16"/>
      <c r="F514" s="16"/>
      <c r="G514" s="16"/>
      <c r="H514" s="17"/>
      <c r="I514" s="20"/>
      <c r="J514" s="16"/>
      <c r="K514" s="17"/>
      <c r="L514" s="20"/>
      <c r="M514" s="18"/>
      <c r="N514" s="51"/>
      <c r="O514" s="47"/>
      <c r="Q514" s="139"/>
    </row>
    <row r="515" spans="1:17" s="2" customFormat="1" ht="25.15" hidden="1" customHeight="1" x14ac:dyDescent="0.25">
      <c r="A515" s="139"/>
      <c r="B515" s="106"/>
      <c r="C515" s="179"/>
      <c r="D515" s="170" t="s">
        <v>395</v>
      </c>
      <c r="E515" s="170"/>
      <c r="F515" s="170"/>
      <c r="G515" s="170"/>
      <c r="H515" s="170"/>
      <c r="I515" s="164"/>
      <c r="J515" s="6"/>
      <c r="K515" s="6"/>
      <c r="L515" s="164"/>
      <c r="M515" s="6"/>
      <c r="N515" s="52"/>
      <c r="O515" s="46"/>
      <c r="Q515" s="139"/>
    </row>
    <row r="516" spans="1:17" s="2" customFormat="1" ht="25.15" hidden="1" customHeight="1" x14ac:dyDescent="0.25">
      <c r="A516" s="139"/>
      <c r="B516" s="107"/>
      <c r="C516" s="135">
        <v>34</v>
      </c>
      <c r="D516" s="169" t="s">
        <v>372</v>
      </c>
      <c r="E516" s="170"/>
      <c r="F516" s="170"/>
      <c r="G516" s="170"/>
      <c r="H516" s="170"/>
      <c r="I516" s="25"/>
      <c r="J516" s="6"/>
      <c r="K516" s="6"/>
      <c r="L516" s="26"/>
      <c r="M516" s="6"/>
      <c r="N516" s="52"/>
      <c r="O516" s="46"/>
      <c r="Q516" s="139"/>
    </row>
    <row r="517" spans="1:17" s="2" customFormat="1" ht="25.15" hidden="1" customHeight="1" x14ac:dyDescent="0.25">
      <c r="A517" s="139"/>
      <c r="B517" s="107"/>
      <c r="C517" s="135">
        <v>35</v>
      </c>
      <c r="D517" s="178" t="s">
        <v>373</v>
      </c>
      <c r="E517" s="169"/>
      <c r="F517" s="169"/>
      <c r="G517" s="169"/>
      <c r="H517" s="22" t="s">
        <v>15</v>
      </c>
      <c r="I517" s="25"/>
      <c r="J517" s="23" t="s">
        <v>16</v>
      </c>
      <c r="K517" s="22" t="s">
        <v>15</v>
      </c>
      <c r="L517" s="25"/>
      <c r="M517" s="23" t="s">
        <v>16</v>
      </c>
      <c r="N517" s="52"/>
      <c r="O517" s="46"/>
      <c r="Q517" s="139"/>
    </row>
    <row r="518" spans="1:17" s="2" customFormat="1" ht="25.15" hidden="1" customHeight="1" x14ac:dyDescent="0.25">
      <c r="A518" s="139"/>
      <c r="B518" s="107"/>
      <c r="C518" s="142">
        <v>36</v>
      </c>
      <c r="D518" s="178" t="s">
        <v>346</v>
      </c>
      <c r="E518" s="169"/>
      <c r="F518" s="169"/>
      <c r="G518" s="169"/>
      <c r="H518" s="180"/>
      <c r="I518" s="25"/>
      <c r="J518" s="133"/>
      <c r="K518" s="132"/>
      <c r="L518" s="25"/>
      <c r="M518" s="133"/>
      <c r="N518" s="52"/>
      <c r="O518" s="46"/>
      <c r="Q518" s="139"/>
    </row>
    <row r="519" spans="1:17" s="2" customFormat="1" ht="25.15" hidden="1" customHeight="1" x14ac:dyDescent="0.25">
      <c r="A519" s="139"/>
      <c r="B519" s="106"/>
      <c r="C519" s="142">
        <v>37</v>
      </c>
      <c r="D519" s="169" t="s">
        <v>347</v>
      </c>
      <c r="E519" s="170"/>
      <c r="F519" s="170"/>
      <c r="G519" s="170"/>
      <c r="H519" s="170"/>
      <c r="I519" s="25"/>
      <c r="J519" s="6"/>
      <c r="K519" s="6"/>
      <c r="L519" s="26"/>
      <c r="M519" s="6"/>
      <c r="N519" s="52"/>
      <c r="O519" s="47"/>
      <c r="Q519" s="139"/>
    </row>
    <row r="520" spans="1:17" s="2" customFormat="1" ht="25.15" hidden="1" customHeight="1" x14ac:dyDescent="0.25">
      <c r="A520" s="139"/>
      <c r="B520" s="106"/>
      <c r="C520" s="142">
        <v>38</v>
      </c>
      <c r="D520" s="169" t="s">
        <v>374</v>
      </c>
      <c r="E520" s="170"/>
      <c r="F520" s="170"/>
      <c r="G520" s="170"/>
      <c r="H520" s="170"/>
      <c r="I520" s="25"/>
      <c r="J520" s="6"/>
      <c r="K520" s="6"/>
      <c r="L520" s="26"/>
      <c r="M520" s="6"/>
      <c r="N520" s="52"/>
      <c r="O520" s="46"/>
      <c r="Q520" s="139"/>
    </row>
    <row r="521" spans="1:17" s="2" customFormat="1" ht="25.15" hidden="1" customHeight="1" x14ac:dyDescent="0.25">
      <c r="A521" s="139"/>
      <c r="B521" s="107"/>
      <c r="C521" s="142">
        <v>39</v>
      </c>
      <c r="D521" s="169" t="s">
        <v>348</v>
      </c>
      <c r="E521" s="170"/>
      <c r="F521" s="170"/>
      <c r="G521" s="170"/>
      <c r="H521" s="170"/>
      <c r="I521" s="25"/>
      <c r="J521" s="6"/>
      <c r="K521" s="6"/>
      <c r="L521" s="26"/>
      <c r="M521" s="6"/>
      <c r="N521" s="52"/>
      <c r="O521" s="46"/>
      <c r="Q521" s="139"/>
    </row>
    <row r="522" spans="1:17" s="2" customFormat="1" ht="37.9" hidden="1" customHeight="1" x14ac:dyDescent="0.25">
      <c r="A522" s="139"/>
      <c r="B522" s="107"/>
      <c r="C522" s="142">
        <v>40</v>
      </c>
      <c r="D522" s="134" t="s">
        <v>9</v>
      </c>
      <c r="E522" s="181" t="s">
        <v>349</v>
      </c>
      <c r="F522" s="182"/>
      <c r="G522" s="182"/>
      <c r="H522" s="12"/>
      <c r="I522" s="25"/>
      <c r="J522" s="6"/>
      <c r="K522" s="6"/>
      <c r="L522" s="26"/>
      <c r="M522" s="6"/>
      <c r="N522" s="52"/>
      <c r="O522" s="46"/>
      <c r="Q522" s="139"/>
    </row>
    <row r="523" spans="1:17" s="2" customFormat="1" ht="37.9" hidden="1" customHeight="1" x14ac:dyDescent="0.25">
      <c r="A523" s="139"/>
      <c r="B523" s="106"/>
      <c r="C523" s="142">
        <v>41</v>
      </c>
      <c r="D523" s="73" t="s">
        <v>12</v>
      </c>
      <c r="E523" s="136"/>
      <c r="F523" s="136"/>
      <c r="G523" s="136"/>
      <c r="H523" s="14"/>
      <c r="I523" s="28">
        <f>I516-I517+SUM(I518:I522)</f>
        <v>0</v>
      </c>
      <c r="J523" s="29"/>
      <c r="K523" s="29"/>
      <c r="L523" s="28">
        <f>L516-L517+SUM(L518:L522)</f>
        <v>0</v>
      </c>
      <c r="M523" s="6"/>
      <c r="N523" s="52"/>
      <c r="O523" s="47"/>
      <c r="Q523" s="139"/>
    </row>
    <row r="524" spans="1:17" s="2" customFormat="1" ht="29.45" hidden="1" customHeight="1" x14ac:dyDescent="0.25">
      <c r="A524" s="139"/>
      <c r="B524" s="106"/>
      <c r="C524" s="142">
        <v>42</v>
      </c>
      <c r="D524" s="102" t="s">
        <v>13</v>
      </c>
      <c r="E524" s="13"/>
      <c r="F524" s="13"/>
      <c r="G524" s="13"/>
      <c r="H524" s="14"/>
      <c r="I524" s="30" t="str">
        <f>IFERROR(I523/I515,"N/A")</f>
        <v>N/A</v>
      </c>
      <c r="J524" s="29"/>
      <c r="K524" s="29"/>
      <c r="L524" s="30" t="str">
        <f>IFERROR(L523/L515,"N/A")</f>
        <v>N/A</v>
      </c>
      <c r="M524" s="6"/>
      <c r="N524" s="52"/>
      <c r="O524" s="46"/>
      <c r="Q524" s="139"/>
    </row>
    <row r="525" spans="1:17" s="2" customFormat="1" ht="25.15" hidden="1" customHeight="1" x14ac:dyDescent="0.25">
      <c r="A525" s="139"/>
      <c r="B525" s="107"/>
      <c r="C525" s="142">
        <v>43</v>
      </c>
      <c r="D525" s="15" t="s">
        <v>340</v>
      </c>
      <c r="E525" s="12"/>
      <c r="F525" s="12"/>
      <c r="G525" s="12"/>
      <c r="H525" s="22" t="s">
        <v>15</v>
      </c>
      <c r="I525" s="27"/>
      <c r="J525" s="23" t="s">
        <v>16</v>
      </c>
      <c r="K525" s="22" t="s">
        <v>15</v>
      </c>
      <c r="L525" s="27"/>
      <c r="M525" s="23" t="s">
        <v>16</v>
      </c>
      <c r="N525" s="52"/>
      <c r="O525" s="46"/>
      <c r="Q525" s="139"/>
    </row>
    <row r="526" spans="1:17" s="2" customFormat="1" ht="29.45" hidden="1" customHeight="1" x14ac:dyDescent="0.25">
      <c r="A526" s="139"/>
      <c r="B526" s="107"/>
      <c r="C526" s="142">
        <v>44</v>
      </c>
      <c r="D526" s="103" t="s">
        <v>14</v>
      </c>
      <c r="E526" s="72"/>
      <c r="F526" s="72"/>
      <c r="G526" s="72"/>
      <c r="H526" s="21"/>
      <c r="I526" s="55" t="str">
        <f>IFERROR(I524-I525,"N/A")</f>
        <v>N/A</v>
      </c>
      <c r="J526" s="6"/>
      <c r="K526" s="6"/>
      <c r="L526" s="55" t="str">
        <f>IFERROR(L524-L525,"N/A")</f>
        <v>N/A</v>
      </c>
      <c r="M526" s="6"/>
      <c r="N526" s="52"/>
      <c r="O526" s="47"/>
      <c r="Q526" s="139"/>
    </row>
    <row r="527" spans="1:17" s="2" customFormat="1" ht="29.45" hidden="1" customHeight="1" x14ac:dyDescent="0.25">
      <c r="A527" s="139"/>
      <c r="B527" s="106"/>
      <c r="C527" s="142">
        <v>45</v>
      </c>
      <c r="D527" s="70" t="str">
        <f>"Average NET Monthly Rental Income (Loss) "&amp;IF(AND(ISNUMBER(I515),ISNUMBER(L515)),I515+L515,IF(ISNUMBER(I515),I515,IF(ISNUMBER(L515),L515,"____")))&amp;" months"</f>
        <v>Average NET Monthly Rental Income (Loss) ____ months</v>
      </c>
      <c r="E527" s="74"/>
      <c r="F527" s="74"/>
      <c r="G527" s="74"/>
      <c r="H527" s="75"/>
      <c r="I527" s="76"/>
      <c r="J527" s="168" t="str">
        <f>IF(AND(ISNUMBER(I515),ISNUMBER(L515),ISNUMBER(I526),ISNUMBER(L526)),((I515*I526)+(L515*L526))/(I515+L515),IF(AND(OR(NOT(ISNUMBER(L515)),NOT(ISNUMBER(L526))),ISNUMBER(I515),ISNUMBER(I526)),I526,IF(AND(OR(NOT(ISNUMBER(I515)),NOT(ISNUMBER(I526))),ISNUMBER(L515),ISNUMBER(L526)),L526,"N/A")))</f>
        <v>N/A</v>
      </c>
      <c r="K527" s="168"/>
      <c r="L527" s="76"/>
      <c r="M527" s="77"/>
      <c r="N527" s="78"/>
      <c r="O527" s="47"/>
      <c r="Q527" s="139"/>
    </row>
    <row r="528" spans="1:17" s="2" customFormat="1" ht="9.6" hidden="1" customHeight="1" thickBot="1" x14ac:dyDescent="0.3">
      <c r="A528" s="139"/>
      <c r="B528" s="106"/>
      <c r="C528" s="53"/>
      <c r="D528" s="7"/>
      <c r="E528" s="7"/>
      <c r="F528" s="7"/>
      <c r="G528" s="7"/>
      <c r="H528" s="7"/>
      <c r="I528" s="7"/>
      <c r="J528" s="7"/>
      <c r="K528" s="7"/>
      <c r="L528" s="7"/>
      <c r="M528" s="7"/>
      <c r="N528" s="54"/>
      <c r="O528" s="46"/>
      <c r="Q528" s="139"/>
    </row>
    <row r="529" spans="1:17" s="2" customFormat="1" ht="27" hidden="1" customHeight="1" thickBot="1" x14ac:dyDescent="0.3">
      <c r="A529" s="139"/>
      <c r="B529" s="107"/>
      <c r="C529" s="84"/>
      <c r="D529" s="82" t="s">
        <v>10</v>
      </c>
      <c r="E529" s="176"/>
      <c r="F529" s="176"/>
      <c r="G529" s="176"/>
      <c r="H529" s="176"/>
      <c r="I529" s="176"/>
      <c r="J529" s="176"/>
      <c r="K529" s="176"/>
      <c r="L529" s="177"/>
      <c r="M529" s="24" t="s">
        <v>8</v>
      </c>
      <c r="N529" s="85"/>
      <c r="O529" s="46"/>
      <c r="Q529" s="139"/>
    </row>
    <row r="530" spans="1:17" s="2" customFormat="1" ht="28.15" hidden="1" customHeight="1" x14ac:dyDescent="0.25">
      <c r="A530" s="139"/>
      <c r="B530" s="107"/>
      <c r="C530" s="83" t="s">
        <v>11</v>
      </c>
      <c r="D530" s="93"/>
      <c r="E530" s="94"/>
      <c r="F530" s="94"/>
      <c r="G530" s="95"/>
      <c r="H530" s="96"/>
      <c r="I530" s="97" t="str">
        <f>IF(ISNUMBER($I$8),$I$8,"")</f>
        <v/>
      </c>
      <c r="J530" s="94"/>
      <c r="K530" s="96"/>
      <c r="L530" s="97" t="str">
        <f>IF(ISNUMBER($L$8),$L$8,"")</f>
        <v/>
      </c>
      <c r="M530" s="98"/>
      <c r="N530" s="99"/>
      <c r="O530" s="46"/>
      <c r="Q530" s="139"/>
    </row>
    <row r="531" spans="1:17" s="19" customFormat="1" ht="4.5" hidden="1" customHeight="1" x14ac:dyDescent="0.25">
      <c r="A531" s="139"/>
      <c r="B531" s="106"/>
      <c r="C531" s="179">
        <v>33</v>
      </c>
      <c r="D531" s="16"/>
      <c r="E531" s="16"/>
      <c r="F531" s="16"/>
      <c r="G531" s="16"/>
      <c r="H531" s="17"/>
      <c r="I531" s="20"/>
      <c r="J531" s="16"/>
      <c r="K531" s="17"/>
      <c r="L531" s="20"/>
      <c r="M531" s="18"/>
      <c r="N531" s="51"/>
      <c r="O531" s="47"/>
      <c r="Q531" s="139"/>
    </row>
    <row r="532" spans="1:17" s="2" customFormat="1" ht="25.15" hidden="1" customHeight="1" x14ac:dyDescent="0.25">
      <c r="A532" s="139"/>
      <c r="B532" s="106"/>
      <c r="C532" s="179"/>
      <c r="D532" s="170" t="s">
        <v>395</v>
      </c>
      <c r="E532" s="170"/>
      <c r="F532" s="170"/>
      <c r="G532" s="170"/>
      <c r="H532" s="170"/>
      <c r="I532" s="164"/>
      <c r="J532" s="6"/>
      <c r="K532" s="6"/>
      <c r="L532" s="164"/>
      <c r="M532" s="6"/>
      <c r="N532" s="52"/>
      <c r="O532" s="46"/>
      <c r="Q532" s="139"/>
    </row>
    <row r="533" spans="1:17" s="2" customFormat="1" ht="25.15" hidden="1" customHeight="1" x14ac:dyDescent="0.25">
      <c r="A533" s="139"/>
      <c r="B533" s="107"/>
      <c r="C533" s="135">
        <v>34</v>
      </c>
      <c r="D533" s="169" t="s">
        <v>372</v>
      </c>
      <c r="E533" s="170"/>
      <c r="F533" s="170"/>
      <c r="G533" s="170"/>
      <c r="H533" s="170"/>
      <c r="I533" s="25"/>
      <c r="J533" s="6"/>
      <c r="K533" s="6"/>
      <c r="L533" s="26"/>
      <c r="M533" s="6"/>
      <c r="N533" s="52"/>
      <c r="O533" s="46"/>
      <c r="Q533" s="139"/>
    </row>
    <row r="534" spans="1:17" s="2" customFormat="1" ht="25.15" hidden="1" customHeight="1" x14ac:dyDescent="0.25">
      <c r="A534" s="139"/>
      <c r="B534" s="107"/>
      <c r="C534" s="135">
        <v>35</v>
      </c>
      <c r="D534" s="178" t="s">
        <v>373</v>
      </c>
      <c r="E534" s="169"/>
      <c r="F534" s="169"/>
      <c r="G534" s="169"/>
      <c r="H534" s="22" t="s">
        <v>15</v>
      </c>
      <c r="I534" s="25"/>
      <c r="J534" s="23" t="s">
        <v>16</v>
      </c>
      <c r="K534" s="22" t="s">
        <v>15</v>
      </c>
      <c r="L534" s="25"/>
      <c r="M534" s="23" t="s">
        <v>16</v>
      </c>
      <c r="N534" s="52"/>
      <c r="O534" s="46"/>
      <c r="Q534" s="139"/>
    </row>
    <row r="535" spans="1:17" s="2" customFormat="1" ht="25.15" hidden="1" customHeight="1" x14ac:dyDescent="0.25">
      <c r="A535" s="139"/>
      <c r="B535" s="107"/>
      <c r="C535" s="142">
        <v>36</v>
      </c>
      <c r="D535" s="178" t="s">
        <v>346</v>
      </c>
      <c r="E535" s="169"/>
      <c r="F535" s="169"/>
      <c r="G535" s="169"/>
      <c r="H535" s="180"/>
      <c r="I535" s="25"/>
      <c r="J535" s="133"/>
      <c r="K535" s="132"/>
      <c r="L535" s="25"/>
      <c r="M535" s="133"/>
      <c r="N535" s="52"/>
      <c r="O535" s="46"/>
      <c r="Q535" s="139"/>
    </row>
    <row r="536" spans="1:17" s="2" customFormat="1" ht="25.15" hidden="1" customHeight="1" x14ac:dyDescent="0.25">
      <c r="A536" s="139"/>
      <c r="B536" s="106"/>
      <c r="C536" s="142">
        <v>37</v>
      </c>
      <c r="D536" s="169" t="s">
        <v>347</v>
      </c>
      <c r="E536" s="170"/>
      <c r="F536" s="170"/>
      <c r="G536" s="170"/>
      <c r="H536" s="170"/>
      <c r="I536" s="25"/>
      <c r="J536" s="6"/>
      <c r="K536" s="6"/>
      <c r="L536" s="26"/>
      <c r="M536" s="6"/>
      <c r="N536" s="52"/>
      <c r="O536" s="47"/>
      <c r="Q536" s="139"/>
    </row>
    <row r="537" spans="1:17" s="2" customFormat="1" ht="25.15" hidden="1" customHeight="1" x14ac:dyDescent="0.25">
      <c r="A537" s="139"/>
      <c r="B537" s="106"/>
      <c r="C537" s="142">
        <v>38</v>
      </c>
      <c r="D537" s="169" t="s">
        <v>374</v>
      </c>
      <c r="E537" s="170"/>
      <c r="F537" s="170"/>
      <c r="G537" s="170"/>
      <c r="H537" s="170"/>
      <c r="I537" s="25"/>
      <c r="J537" s="6"/>
      <c r="K537" s="6"/>
      <c r="L537" s="26"/>
      <c r="M537" s="6"/>
      <c r="N537" s="52"/>
      <c r="O537" s="46"/>
      <c r="Q537" s="139"/>
    </row>
    <row r="538" spans="1:17" s="2" customFormat="1" ht="25.15" hidden="1" customHeight="1" x14ac:dyDescent="0.25">
      <c r="A538" s="139"/>
      <c r="B538" s="107"/>
      <c r="C538" s="142">
        <v>39</v>
      </c>
      <c r="D538" s="169" t="s">
        <v>348</v>
      </c>
      <c r="E538" s="170"/>
      <c r="F538" s="170"/>
      <c r="G538" s="170"/>
      <c r="H538" s="170"/>
      <c r="I538" s="25"/>
      <c r="J538" s="6"/>
      <c r="K538" s="6"/>
      <c r="L538" s="26"/>
      <c r="M538" s="6"/>
      <c r="N538" s="52"/>
      <c r="O538" s="46"/>
      <c r="Q538" s="139"/>
    </row>
    <row r="539" spans="1:17" s="2" customFormat="1" ht="37.9" hidden="1" customHeight="1" x14ac:dyDescent="0.25">
      <c r="A539" s="139"/>
      <c r="B539" s="107"/>
      <c r="C539" s="142">
        <v>40</v>
      </c>
      <c r="D539" s="134" t="s">
        <v>9</v>
      </c>
      <c r="E539" s="181" t="s">
        <v>349</v>
      </c>
      <c r="F539" s="182"/>
      <c r="G539" s="182"/>
      <c r="H539" s="12"/>
      <c r="I539" s="25"/>
      <c r="J539" s="6"/>
      <c r="K539" s="6"/>
      <c r="L539" s="26"/>
      <c r="M539" s="6"/>
      <c r="N539" s="52"/>
      <c r="O539" s="46"/>
      <c r="Q539" s="139"/>
    </row>
    <row r="540" spans="1:17" s="2" customFormat="1" ht="37.9" hidden="1" customHeight="1" x14ac:dyDescent="0.25">
      <c r="A540" s="139"/>
      <c r="B540" s="106"/>
      <c r="C540" s="142">
        <v>41</v>
      </c>
      <c r="D540" s="73" t="s">
        <v>12</v>
      </c>
      <c r="E540" s="136"/>
      <c r="F540" s="136"/>
      <c r="G540" s="136"/>
      <c r="H540" s="14"/>
      <c r="I540" s="28">
        <f>I533-I534+SUM(I535:I539)</f>
        <v>0</v>
      </c>
      <c r="J540" s="29"/>
      <c r="K540" s="29"/>
      <c r="L540" s="28">
        <f>L533-L534+SUM(L535:L539)</f>
        <v>0</v>
      </c>
      <c r="M540" s="6"/>
      <c r="N540" s="52"/>
      <c r="O540" s="47"/>
      <c r="Q540" s="139"/>
    </row>
    <row r="541" spans="1:17" s="2" customFormat="1" ht="29.45" hidden="1" customHeight="1" x14ac:dyDescent="0.25">
      <c r="A541" s="139"/>
      <c r="B541" s="106"/>
      <c r="C541" s="142">
        <v>42</v>
      </c>
      <c r="D541" s="102" t="s">
        <v>13</v>
      </c>
      <c r="E541" s="13"/>
      <c r="F541" s="13"/>
      <c r="G541" s="13"/>
      <c r="H541" s="14"/>
      <c r="I541" s="30" t="str">
        <f>IFERROR(I540/I532,"N/A")</f>
        <v>N/A</v>
      </c>
      <c r="J541" s="29"/>
      <c r="K541" s="29"/>
      <c r="L541" s="30" t="str">
        <f>IFERROR(L540/L532,"N/A")</f>
        <v>N/A</v>
      </c>
      <c r="M541" s="6"/>
      <c r="N541" s="52"/>
      <c r="O541" s="46"/>
      <c r="Q541" s="139"/>
    </row>
    <row r="542" spans="1:17" s="2" customFormat="1" ht="25.15" hidden="1" customHeight="1" x14ac:dyDescent="0.25">
      <c r="A542" s="139"/>
      <c r="B542" s="107"/>
      <c r="C542" s="142">
        <v>43</v>
      </c>
      <c r="D542" s="15" t="s">
        <v>340</v>
      </c>
      <c r="E542" s="12"/>
      <c r="F542" s="12"/>
      <c r="G542" s="12"/>
      <c r="H542" s="22" t="s">
        <v>15</v>
      </c>
      <c r="I542" s="27"/>
      <c r="J542" s="23" t="s">
        <v>16</v>
      </c>
      <c r="K542" s="22" t="s">
        <v>15</v>
      </c>
      <c r="L542" s="27"/>
      <c r="M542" s="23" t="s">
        <v>16</v>
      </c>
      <c r="N542" s="52"/>
      <c r="O542" s="46"/>
      <c r="Q542" s="139"/>
    </row>
    <row r="543" spans="1:17" s="2" customFormat="1" ht="29.45" hidden="1" customHeight="1" x14ac:dyDescent="0.25">
      <c r="A543" s="139"/>
      <c r="B543" s="107"/>
      <c r="C543" s="142">
        <v>44</v>
      </c>
      <c r="D543" s="103" t="s">
        <v>14</v>
      </c>
      <c r="E543" s="72"/>
      <c r="F543" s="72"/>
      <c r="G543" s="72"/>
      <c r="H543" s="21"/>
      <c r="I543" s="55" t="str">
        <f>IFERROR(I541-I542,"N/A")</f>
        <v>N/A</v>
      </c>
      <c r="J543" s="6"/>
      <c r="K543" s="6"/>
      <c r="L543" s="55" t="str">
        <f>IFERROR(L541-L542,"N/A")</f>
        <v>N/A</v>
      </c>
      <c r="M543" s="6"/>
      <c r="N543" s="52"/>
      <c r="O543" s="47"/>
      <c r="Q543" s="139"/>
    </row>
    <row r="544" spans="1:17" s="2" customFormat="1" ht="29.45" hidden="1" customHeight="1" x14ac:dyDescent="0.25">
      <c r="A544" s="139"/>
      <c r="B544" s="106"/>
      <c r="C544" s="142">
        <v>45</v>
      </c>
      <c r="D544" s="70" t="str">
        <f>"Average NET Monthly Rental Income (Loss) "&amp;IF(AND(ISNUMBER(I532),ISNUMBER(L532)),I532+L532,IF(ISNUMBER(I532),I532,IF(ISNUMBER(L532),L532,"____")))&amp;" months"</f>
        <v>Average NET Monthly Rental Income (Loss) ____ months</v>
      </c>
      <c r="E544" s="74"/>
      <c r="F544" s="74"/>
      <c r="G544" s="74"/>
      <c r="H544" s="75"/>
      <c r="I544" s="76"/>
      <c r="J544" s="168" t="str">
        <f>IF(AND(ISNUMBER(I532),ISNUMBER(L532),ISNUMBER(I543),ISNUMBER(L543)),((I532*I543)+(L532*L543))/(I532+L532),IF(AND(OR(NOT(ISNUMBER(L532)),NOT(ISNUMBER(L543))),ISNUMBER(I532),ISNUMBER(I543)),I543,IF(AND(OR(NOT(ISNUMBER(I532)),NOT(ISNUMBER(I543))),ISNUMBER(L532),ISNUMBER(L543)),L543,"N/A")))</f>
        <v>N/A</v>
      </c>
      <c r="K544" s="168"/>
      <c r="L544" s="76"/>
      <c r="M544" s="77"/>
      <c r="N544" s="78"/>
      <c r="O544" s="47"/>
      <c r="Q544" s="139"/>
    </row>
    <row r="545" spans="1:17" s="2" customFormat="1" ht="9.6" hidden="1" customHeight="1" thickBot="1" x14ac:dyDescent="0.3">
      <c r="A545" s="139"/>
      <c r="B545" s="106"/>
      <c r="C545" s="53"/>
      <c r="D545" s="7"/>
      <c r="E545" s="7"/>
      <c r="F545" s="7"/>
      <c r="G545" s="7"/>
      <c r="H545" s="7"/>
      <c r="I545" s="7"/>
      <c r="J545" s="7"/>
      <c r="K545" s="7"/>
      <c r="L545" s="7"/>
      <c r="M545" s="7"/>
      <c r="N545" s="54"/>
      <c r="O545" s="46"/>
      <c r="Q545" s="139"/>
    </row>
    <row r="546" spans="1:17" s="2" customFormat="1" ht="27" hidden="1" customHeight="1" thickBot="1" x14ac:dyDescent="0.3">
      <c r="A546" s="139"/>
      <c r="B546" s="107"/>
      <c r="C546" s="84"/>
      <c r="D546" s="82" t="s">
        <v>10</v>
      </c>
      <c r="E546" s="176"/>
      <c r="F546" s="176"/>
      <c r="G546" s="176"/>
      <c r="H546" s="176"/>
      <c r="I546" s="176"/>
      <c r="J546" s="176"/>
      <c r="K546" s="176"/>
      <c r="L546" s="177"/>
      <c r="M546" s="24" t="s">
        <v>8</v>
      </c>
      <c r="N546" s="85"/>
      <c r="O546" s="46"/>
      <c r="Q546" s="139"/>
    </row>
    <row r="547" spans="1:17" s="2" customFormat="1" ht="28.15" hidden="1" customHeight="1" x14ac:dyDescent="0.25">
      <c r="A547" s="139"/>
      <c r="B547" s="107"/>
      <c r="C547" s="83" t="s">
        <v>11</v>
      </c>
      <c r="D547" s="93"/>
      <c r="E547" s="94"/>
      <c r="F547" s="94"/>
      <c r="G547" s="95"/>
      <c r="H547" s="96"/>
      <c r="I547" s="97" t="str">
        <f>IF(ISNUMBER($I$8),$I$8,"")</f>
        <v/>
      </c>
      <c r="J547" s="94"/>
      <c r="K547" s="96"/>
      <c r="L547" s="97" t="str">
        <f>IF(ISNUMBER($L$8),$L$8,"")</f>
        <v/>
      </c>
      <c r="M547" s="98"/>
      <c r="N547" s="99"/>
      <c r="O547" s="46"/>
      <c r="Q547" s="139"/>
    </row>
    <row r="548" spans="1:17" s="19" customFormat="1" ht="4.5" hidden="1" customHeight="1" x14ac:dyDescent="0.25">
      <c r="A548" s="139"/>
      <c r="B548" s="106"/>
      <c r="C548" s="179">
        <v>33</v>
      </c>
      <c r="D548" s="16"/>
      <c r="E548" s="16"/>
      <c r="F548" s="16"/>
      <c r="G548" s="16"/>
      <c r="H548" s="17"/>
      <c r="I548" s="20"/>
      <c r="J548" s="16"/>
      <c r="K548" s="17"/>
      <c r="L548" s="20"/>
      <c r="M548" s="18"/>
      <c r="N548" s="51"/>
      <c r="O548" s="47"/>
      <c r="Q548" s="139"/>
    </row>
    <row r="549" spans="1:17" s="2" customFormat="1" ht="25.15" hidden="1" customHeight="1" x14ac:dyDescent="0.25">
      <c r="A549" s="139"/>
      <c r="B549" s="106"/>
      <c r="C549" s="179"/>
      <c r="D549" s="170" t="s">
        <v>395</v>
      </c>
      <c r="E549" s="170"/>
      <c r="F549" s="170"/>
      <c r="G549" s="170"/>
      <c r="H549" s="170"/>
      <c r="I549" s="164"/>
      <c r="J549" s="6"/>
      <c r="K549" s="6"/>
      <c r="L549" s="164"/>
      <c r="M549" s="6"/>
      <c r="N549" s="52"/>
      <c r="O549" s="46"/>
      <c r="Q549" s="139"/>
    </row>
    <row r="550" spans="1:17" s="2" customFormat="1" ht="25.15" hidden="1" customHeight="1" x14ac:dyDescent="0.25">
      <c r="A550" s="139"/>
      <c r="B550" s="107"/>
      <c r="C550" s="135">
        <v>34</v>
      </c>
      <c r="D550" s="169" t="s">
        <v>372</v>
      </c>
      <c r="E550" s="170"/>
      <c r="F550" s="170"/>
      <c r="G550" s="170"/>
      <c r="H550" s="170"/>
      <c r="I550" s="25"/>
      <c r="J550" s="6"/>
      <c r="K550" s="6"/>
      <c r="L550" s="26"/>
      <c r="M550" s="6"/>
      <c r="N550" s="52"/>
      <c r="O550" s="46"/>
      <c r="Q550" s="139"/>
    </row>
    <row r="551" spans="1:17" s="2" customFormat="1" ht="25.15" hidden="1" customHeight="1" x14ac:dyDescent="0.25">
      <c r="A551" s="139"/>
      <c r="B551" s="107"/>
      <c r="C551" s="135">
        <v>35</v>
      </c>
      <c r="D551" s="178" t="s">
        <v>373</v>
      </c>
      <c r="E551" s="169"/>
      <c r="F551" s="169"/>
      <c r="G551" s="169"/>
      <c r="H551" s="22" t="s">
        <v>15</v>
      </c>
      <c r="I551" s="25"/>
      <c r="J551" s="23" t="s">
        <v>16</v>
      </c>
      <c r="K551" s="22" t="s">
        <v>15</v>
      </c>
      <c r="L551" s="25"/>
      <c r="M551" s="23" t="s">
        <v>16</v>
      </c>
      <c r="N551" s="52"/>
      <c r="O551" s="46"/>
      <c r="Q551" s="139"/>
    </row>
    <row r="552" spans="1:17" s="2" customFormat="1" ht="25.15" hidden="1" customHeight="1" x14ac:dyDescent="0.25">
      <c r="A552" s="139"/>
      <c r="B552" s="107"/>
      <c r="C552" s="142">
        <v>36</v>
      </c>
      <c r="D552" s="178" t="s">
        <v>346</v>
      </c>
      <c r="E552" s="169"/>
      <c r="F552" s="169"/>
      <c r="G552" s="169"/>
      <c r="H552" s="180"/>
      <c r="I552" s="25"/>
      <c r="J552" s="133"/>
      <c r="K552" s="132"/>
      <c r="L552" s="25"/>
      <c r="M552" s="133"/>
      <c r="N552" s="52"/>
      <c r="O552" s="46"/>
      <c r="Q552" s="139"/>
    </row>
    <row r="553" spans="1:17" s="2" customFormat="1" ht="25.15" hidden="1" customHeight="1" x14ac:dyDescent="0.25">
      <c r="A553" s="139"/>
      <c r="B553" s="106"/>
      <c r="C553" s="142">
        <v>37</v>
      </c>
      <c r="D553" s="169" t="s">
        <v>347</v>
      </c>
      <c r="E553" s="170"/>
      <c r="F553" s="170"/>
      <c r="G553" s="170"/>
      <c r="H553" s="170"/>
      <c r="I553" s="25"/>
      <c r="J553" s="6"/>
      <c r="K553" s="6"/>
      <c r="L553" s="26"/>
      <c r="M553" s="6"/>
      <c r="N553" s="52"/>
      <c r="O553" s="47"/>
      <c r="Q553" s="139"/>
    </row>
    <row r="554" spans="1:17" s="2" customFormat="1" ht="25.15" hidden="1" customHeight="1" x14ac:dyDescent="0.25">
      <c r="A554" s="139"/>
      <c r="B554" s="106"/>
      <c r="C554" s="142">
        <v>38</v>
      </c>
      <c r="D554" s="169" t="s">
        <v>374</v>
      </c>
      <c r="E554" s="170"/>
      <c r="F554" s="170"/>
      <c r="G554" s="170"/>
      <c r="H554" s="170"/>
      <c r="I554" s="25"/>
      <c r="J554" s="6"/>
      <c r="K554" s="6"/>
      <c r="L554" s="26"/>
      <c r="M554" s="6"/>
      <c r="N554" s="52"/>
      <c r="O554" s="46"/>
      <c r="Q554" s="139"/>
    </row>
    <row r="555" spans="1:17" s="2" customFormat="1" ht="25.15" hidden="1" customHeight="1" x14ac:dyDescent="0.25">
      <c r="A555" s="139"/>
      <c r="B555" s="107"/>
      <c r="C555" s="142">
        <v>39</v>
      </c>
      <c r="D555" s="169" t="s">
        <v>348</v>
      </c>
      <c r="E555" s="170"/>
      <c r="F555" s="170"/>
      <c r="G555" s="170"/>
      <c r="H555" s="170"/>
      <c r="I555" s="25"/>
      <c r="J555" s="6"/>
      <c r="K555" s="6"/>
      <c r="L555" s="26"/>
      <c r="M555" s="6"/>
      <c r="N555" s="52"/>
      <c r="O555" s="46"/>
      <c r="Q555" s="139"/>
    </row>
    <row r="556" spans="1:17" s="2" customFormat="1" ht="37.9" hidden="1" customHeight="1" x14ac:dyDescent="0.25">
      <c r="A556" s="139"/>
      <c r="B556" s="107"/>
      <c r="C556" s="142">
        <v>40</v>
      </c>
      <c r="D556" s="134" t="s">
        <v>9</v>
      </c>
      <c r="E556" s="181" t="s">
        <v>349</v>
      </c>
      <c r="F556" s="182"/>
      <c r="G556" s="182"/>
      <c r="H556" s="12"/>
      <c r="I556" s="25"/>
      <c r="J556" s="6"/>
      <c r="K556" s="6"/>
      <c r="L556" s="26"/>
      <c r="M556" s="6"/>
      <c r="N556" s="52"/>
      <c r="O556" s="46"/>
      <c r="Q556" s="139"/>
    </row>
    <row r="557" spans="1:17" s="2" customFormat="1" ht="37.9" hidden="1" customHeight="1" x14ac:dyDescent="0.25">
      <c r="A557" s="139"/>
      <c r="B557" s="106"/>
      <c r="C557" s="142">
        <v>41</v>
      </c>
      <c r="D557" s="73" t="s">
        <v>12</v>
      </c>
      <c r="E557" s="136"/>
      <c r="F557" s="136"/>
      <c r="G557" s="136"/>
      <c r="H557" s="14"/>
      <c r="I557" s="28">
        <f>I550-I551+SUM(I552:I556)</f>
        <v>0</v>
      </c>
      <c r="J557" s="29"/>
      <c r="K557" s="29"/>
      <c r="L557" s="28">
        <f>L550-L551+SUM(L552:L556)</f>
        <v>0</v>
      </c>
      <c r="M557" s="6"/>
      <c r="N557" s="52"/>
      <c r="O557" s="47"/>
      <c r="Q557" s="139"/>
    </row>
    <row r="558" spans="1:17" s="2" customFormat="1" ht="29.45" hidden="1" customHeight="1" x14ac:dyDescent="0.25">
      <c r="A558" s="139"/>
      <c r="B558" s="106"/>
      <c r="C558" s="142">
        <v>42</v>
      </c>
      <c r="D558" s="102" t="s">
        <v>13</v>
      </c>
      <c r="E558" s="13"/>
      <c r="F558" s="13"/>
      <c r="G558" s="13"/>
      <c r="H558" s="14"/>
      <c r="I558" s="30" t="str">
        <f>IFERROR(I557/I549,"N/A")</f>
        <v>N/A</v>
      </c>
      <c r="J558" s="29"/>
      <c r="K558" s="29"/>
      <c r="L558" s="30" t="str">
        <f>IFERROR(L557/L549,"N/A")</f>
        <v>N/A</v>
      </c>
      <c r="M558" s="6"/>
      <c r="N558" s="52"/>
      <c r="O558" s="46"/>
      <c r="Q558" s="139"/>
    </row>
    <row r="559" spans="1:17" s="2" customFormat="1" ht="25.15" hidden="1" customHeight="1" x14ac:dyDescent="0.25">
      <c r="A559" s="139"/>
      <c r="B559" s="107"/>
      <c r="C559" s="142">
        <v>43</v>
      </c>
      <c r="D559" s="15" t="s">
        <v>340</v>
      </c>
      <c r="E559" s="12"/>
      <c r="F559" s="12"/>
      <c r="G559" s="12"/>
      <c r="H559" s="22" t="s">
        <v>15</v>
      </c>
      <c r="I559" s="27"/>
      <c r="J559" s="23" t="s">
        <v>16</v>
      </c>
      <c r="K559" s="22" t="s">
        <v>15</v>
      </c>
      <c r="L559" s="27"/>
      <c r="M559" s="23" t="s">
        <v>16</v>
      </c>
      <c r="N559" s="52"/>
      <c r="O559" s="46"/>
      <c r="Q559" s="139"/>
    </row>
    <row r="560" spans="1:17" s="2" customFormat="1" ht="29.45" hidden="1" customHeight="1" x14ac:dyDescent="0.25">
      <c r="A560" s="139"/>
      <c r="B560" s="107"/>
      <c r="C560" s="142">
        <v>44</v>
      </c>
      <c r="D560" s="103" t="s">
        <v>14</v>
      </c>
      <c r="E560" s="72"/>
      <c r="F560" s="72"/>
      <c r="G560" s="72"/>
      <c r="H560" s="21"/>
      <c r="I560" s="55" t="str">
        <f>IFERROR(I558-I559,"N/A")</f>
        <v>N/A</v>
      </c>
      <c r="J560" s="6"/>
      <c r="K560" s="6"/>
      <c r="L560" s="55" t="str">
        <f>IFERROR(L558-L559,"N/A")</f>
        <v>N/A</v>
      </c>
      <c r="M560" s="6"/>
      <c r="N560" s="52"/>
      <c r="O560" s="47"/>
      <c r="Q560" s="139"/>
    </row>
    <row r="561" spans="1:17" s="2" customFormat="1" ht="29.45" hidden="1" customHeight="1" x14ac:dyDescent="0.25">
      <c r="A561" s="139"/>
      <c r="B561" s="106"/>
      <c r="C561" s="142">
        <v>45</v>
      </c>
      <c r="D561" s="70" t="str">
        <f>"Average NET Monthly Rental Income (Loss) "&amp;IF(AND(ISNUMBER(I549),ISNUMBER(L549)),I549+L549,IF(ISNUMBER(I549),I549,IF(ISNUMBER(L549),L549,"____")))&amp;" months"</f>
        <v>Average NET Monthly Rental Income (Loss) ____ months</v>
      </c>
      <c r="E561" s="74"/>
      <c r="F561" s="74"/>
      <c r="G561" s="74"/>
      <c r="H561" s="75"/>
      <c r="I561" s="76"/>
      <c r="J561" s="168" t="str">
        <f>IF(AND(ISNUMBER(I549),ISNUMBER(L549),ISNUMBER(I560),ISNUMBER(L560)),((I549*I560)+(L549*L560))/(I549+L549),IF(AND(OR(NOT(ISNUMBER(L549)),NOT(ISNUMBER(L560))),ISNUMBER(I549),ISNUMBER(I560)),I560,IF(AND(OR(NOT(ISNUMBER(I549)),NOT(ISNUMBER(I560))),ISNUMBER(L549),ISNUMBER(L560)),L560,"N/A")))</f>
        <v>N/A</v>
      </c>
      <c r="K561" s="168"/>
      <c r="L561" s="76"/>
      <c r="M561" s="77"/>
      <c r="N561" s="78"/>
      <c r="O561" s="47"/>
      <c r="Q561" s="139"/>
    </row>
    <row r="562" spans="1:17" s="2" customFormat="1" ht="9.6" hidden="1" customHeight="1" thickBot="1" x14ac:dyDescent="0.3">
      <c r="A562" s="139"/>
      <c r="B562" s="106"/>
      <c r="C562" s="53"/>
      <c r="D562" s="7"/>
      <c r="E562" s="7"/>
      <c r="F562" s="7"/>
      <c r="G562" s="7"/>
      <c r="H562" s="7"/>
      <c r="I562" s="7"/>
      <c r="J562" s="7"/>
      <c r="K562" s="7"/>
      <c r="L562" s="7"/>
      <c r="M562" s="7"/>
      <c r="N562" s="54"/>
      <c r="O562" s="46"/>
      <c r="Q562" s="139"/>
    </row>
    <row r="563" spans="1:17" s="2" customFormat="1" ht="27" hidden="1" customHeight="1" thickBot="1" x14ac:dyDescent="0.3">
      <c r="A563" s="139"/>
      <c r="B563" s="107"/>
      <c r="C563" s="84"/>
      <c r="D563" s="82" t="s">
        <v>10</v>
      </c>
      <c r="E563" s="176"/>
      <c r="F563" s="176"/>
      <c r="G563" s="176"/>
      <c r="H563" s="176"/>
      <c r="I563" s="176"/>
      <c r="J563" s="176"/>
      <c r="K563" s="176"/>
      <c r="L563" s="177"/>
      <c r="M563" s="24" t="s">
        <v>8</v>
      </c>
      <c r="N563" s="85"/>
      <c r="O563" s="46"/>
      <c r="Q563" s="139"/>
    </row>
    <row r="564" spans="1:17" s="2" customFormat="1" ht="28.15" hidden="1" customHeight="1" x14ac:dyDescent="0.25">
      <c r="A564" s="139"/>
      <c r="B564" s="107"/>
      <c r="C564" s="83" t="s">
        <v>11</v>
      </c>
      <c r="D564" s="93"/>
      <c r="E564" s="94"/>
      <c r="F564" s="94"/>
      <c r="G564" s="95"/>
      <c r="H564" s="96"/>
      <c r="I564" s="97" t="str">
        <f>IF(ISNUMBER($I$8),$I$8,"")</f>
        <v/>
      </c>
      <c r="J564" s="94"/>
      <c r="K564" s="96"/>
      <c r="L564" s="97" t="str">
        <f>IF(ISNUMBER($L$8),$L$8,"")</f>
        <v/>
      </c>
      <c r="M564" s="98"/>
      <c r="N564" s="99"/>
      <c r="O564" s="46"/>
      <c r="Q564" s="139"/>
    </row>
    <row r="565" spans="1:17" s="19" customFormat="1" ht="4.5" hidden="1" customHeight="1" x14ac:dyDescent="0.25">
      <c r="A565" s="139"/>
      <c r="B565" s="106"/>
      <c r="C565" s="179">
        <v>33</v>
      </c>
      <c r="D565" s="16"/>
      <c r="E565" s="16"/>
      <c r="F565" s="16"/>
      <c r="G565" s="16"/>
      <c r="H565" s="17"/>
      <c r="I565" s="20"/>
      <c r="J565" s="16"/>
      <c r="K565" s="17"/>
      <c r="L565" s="20"/>
      <c r="M565" s="18"/>
      <c r="N565" s="51"/>
      <c r="O565" s="47"/>
      <c r="Q565" s="139"/>
    </row>
    <row r="566" spans="1:17" s="2" customFormat="1" ht="25.15" hidden="1" customHeight="1" x14ac:dyDescent="0.25">
      <c r="A566" s="139"/>
      <c r="B566" s="106"/>
      <c r="C566" s="179"/>
      <c r="D566" s="170" t="s">
        <v>395</v>
      </c>
      <c r="E566" s="170"/>
      <c r="F566" s="170"/>
      <c r="G566" s="170"/>
      <c r="H566" s="170"/>
      <c r="I566" s="164"/>
      <c r="J566" s="6"/>
      <c r="K566" s="6"/>
      <c r="L566" s="164"/>
      <c r="M566" s="6"/>
      <c r="N566" s="52"/>
      <c r="O566" s="46"/>
      <c r="Q566" s="139"/>
    </row>
    <row r="567" spans="1:17" s="2" customFormat="1" ht="25.15" hidden="1" customHeight="1" x14ac:dyDescent="0.25">
      <c r="A567" s="139"/>
      <c r="B567" s="107"/>
      <c r="C567" s="135">
        <v>34</v>
      </c>
      <c r="D567" s="169" t="s">
        <v>372</v>
      </c>
      <c r="E567" s="170"/>
      <c r="F567" s="170"/>
      <c r="G567" s="170"/>
      <c r="H567" s="170"/>
      <c r="I567" s="25"/>
      <c r="J567" s="6"/>
      <c r="K567" s="6"/>
      <c r="L567" s="26"/>
      <c r="M567" s="6"/>
      <c r="N567" s="52"/>
      <c r="O567" s="46"/>
      <c r="Q567" s="139"/>
    </row>
    <row r="568" spans="1:17" s="2" customFormat="1" ht="25.15" hidden="1" customHeight="1" x14ac:dyDescent="0.25">
      <c r="A568" s="139"/>
      <c r="B568" s="107"/>
      <c r="C568" s="135">
        <v>35</v>
      </c>
      <c r="D568" s="178" t="s">
        <v>373</v>
      </c>
      <c r="E568" s="169"/>
      <c r="F568" s="169"/>
      <c r="G568" s="169"/>
      <c r="H568" s="22" t="s">
        <v>15</v>
      </c>
      <c r="I568" s="25"/>
      <c r="J568" s="23" t="s">
        <v>16</v>
      </c>
      <c r="K568" s="22" t="s">
        <v>15</v>
      </c>
      <c r="L568" s="25"/>
      <c r="M568" s="23" t="s">
        <v>16</v>
      </c>
      <c r="N568" s="52"/>
      <c r="O568" s="46"/>
      <c r="Q568" s="139"/>
    </row>
    <row r="569" spans="1:17" s="2" customFormat="1" ht="25.15" hidden="1" customHeight="1" x14ac:dyDescent="0.25">
      <c r="A569" s="139"/>
      <c r="B569" s="107"/>
      <c r="C569" s="142">
        <v>36</v>
      </c>
      <c r="D569" s="178" t="s">
        <v>346</v>
      </c>
      <c r="E569" s="169"/>
      <c r="F569" s="169"/>
      <c r="G569" s="169"/>
      <c r="H569" s="180"/>
      <c r="I569" s="25"/>
      <c r="J569" s="133"/>
      <c r="K569" s="132"/>
      <c r="L569" s="25"/>
      <c r="M569" s="133"/>
      <c r="N569" s="52"/>
      <c r="O569" s="46"/>
      <c r="Q569" s="139"/>
    </row>
    <row r="570" spans="1:17" s="2" customFormat="1" ht="25.15" hidden="1" customHeight="1" x14ac:dyDescent="0.25">
      <c r="A570" s="139"/>
      <c r="B570" s="106"/>
      <c r="C570" s="142">
        <v>37</v>
      </c>
      <c r="D570" s="169" t="s">
        <v>347</v>
      </c>
      <c r="E570" s="170"/>
      <c r="F570" s="170"/>
      <c r="G570" s="170"/>
      <c r="H570" s="170"/>
      <c r="I570" s="25"/>
      <c r="J570" s="6"/>
      <c r="K570" s="6"/>
      <c r="L570" s="26"/>
      <c r="M570" s="6"/>
      <c r="N570" s="52"/>
      <c r="O570" s="47"/>
      <c r="Q570" s="139"/>
    </row>
    <row r="571" spans="1:17" s="2" customFormat="1" ht="25.15" hidden="1" customHeight="1" x14ac:dyDescent="0.25">
      <c r="A571" s="139"/>
      <c r="B571" s="106"/>
      <c r="C571" s="142">
        <v>38</v>
      </c>
      <c r="D571" s="169" t="s">
        <v>374</v>
      </c>
      <c r="E571" s="170"/>
      <c r="F571" s="170"/>
      <c r="G571" s="170"/>
      <c r="H571" s="170"/>
      <c r="I571" s="25"/>
      <c r="J571" s="6"/>
      <c r="K571" s="6"/>
      <c r="L571" s="26"/>
      <c r="M571" s="6"/>
      <c r="N571" s="52"/>
      <c r="O571" s="46"/>
      <c r="Q571" s="139"/>
    </row>
    <row r="572" spans="1:17" s="2" customFormat="1" ht="25.15" hidden="1" customHeight="1" x14ac:dyDescent="0.25">
      <c r="A572" s="139"/>
      <c r="B572" s="107"/>
      <c r="C572" s="142">
        <v>39</v>
      </c>
      <c r="D572" s="169" t="s">
        <v>348</v>
      </c>
      <c r="E572" s="170"/>
      <c r="F572" s="170"/>
      <c r="G572" s="170"/>
      <c r="H572" s="170"/>
      <c r="I572" s="25"/>
      <c r="J572" s="6"/>
      <c r="K572" s="6"/>
      <c r="L572" s="26"/>
      <c r="M572" s="6"/>
      <c r="N572" s="52"/>
      <c r="O572" s="46"/>
      <c r="Q572" s="139"/>
    </row>
    <row r="573" spans="1:17" s="2" customFormat="1" ht="37.9" hidden="1" customHeight="1" x14ac:dyDescent="0.25">
      <c r="A573" s="139"/>
      <c r="B573" s="107"/>
      <c r="C573" s="142">
        <v>40</v>
      </c>
      <c r="D573" s="134" t="s">
        <v>9</v>
      </c>
      <c r="E573" s="181" t="s">
        <v>349</v>
      </c>
      <c r="F573" s="182"/>
      <c r="G573" s="182"/>
      <c r="H573" s="12"/>
      <c r="I573" s="25"/>
      <c r="J573" s="6"/>
      <c r="K573" s="6"/>
      <c r="L573" s="26"/>
      <c r="M573" s="6"/>
      <c r="N573" s="52"/>
      <c r="O573" s="46"/>
      <c r="Q573" s="139"/>
    </row>
    <row r="574" spans="1:17" s="2" customFormat="1" ht="37.9" hidden="1" customHeight="1" x14ac:dyDescent="0.25">
      <c r="A574" s="139"/>
      <c r="B574" s="106"/>
      <c r="C574" s="142">
        <v>41</v>
      </c>
      <c r="D574" s="73" t="s">
        <v>12</v>
      </c>
      <c r="E574" s="136"/>
      <c r="F574" s="136"/>
      <c r="G574" s="136"/>
      <c r="H574" s="14"/>
      <c r="I574" s="28">
        <f>I567-I568+SUM(I569:I573)</f>
        <v>0</v>
      </c>
      <c r="J574" s="29"/>
      <c r="K574" s="29"/>
      <c r="L574" s="28">
        <f>L567-L568+SUM(L569:L573)</f>
        <v>0</v>
      </c>
      <c r="M574" s="6"/>
      <c r="N574" s="52"/>
      <c r="O574" s="47"/>
      <c r="Q574" s="139"/>
    </row>
    <row r="575" spans="1:17" s="2" customFormat="1" ht="29.45" hidden="1" customHeight="1" x14ac:dyDescent="0.25">
      <c r="A575" s="139"/>
      <c r="B575" s="106"/>
      <c r="C575" s="142">
        <v>42</v>
      </c>
      <c r="D575" s="102" t="s">
        <v>13</v>
      </c>
      <c r="E575" s="13"/>
      <c r="F575" s="13"/>
      <c r="G575" s="13"/>
      <c r="H575" s="14"/>
      <c r="I575" s="30" t="str">
        <f>IFERROR(I574/I566,"N/A")</f>
        <v>N/A</v>
      </c>
      <c r="J575" s="29"/>
      <c r="K575" s="29"/>
      <c r="L575" s="30" t="str">
        <f>IFERROR(L574/L566,"N/A")</f>
        <v>N/A</v>
      </c>
      <c r="M575" s="6"/>
      <c r="N575" s="52"/>
      <c r="O575" s="46"/>
      <c r="Q575" s="139"/>
    </row>
    <row r="576" spans="1:17" s="2" customFormat="1" ht="25.15" hidden="1" customHeight="1" x14ac:dyDescent="0.25">
      <c r="A576" s="139"/>
      <c r="B576" s="107"/>
      <c r="C576" s="142">
        <v>43</v>
      </c>
      <c r="D576" s="15" t="s">
        <v>340</v>
      </c>
      <c r="E576" s="12"/>
      <c r="F576" s="12"/>
      <c r="G576" s="12"/>
      <c r="H576" s="22" t="s">
        <v>15</v>
      </c>
      <c r="I576" s="27"/>
      <c r="J576" s="23" t="s">
        <v>16</v>
      </c>
      <c r="K576" s="22" t="s">
        <v>15</v>
      </c>
      <c r="L576" s="27"/>
      <c r="M576" s="23" t="s">
        <v>16</v>
      </c>
      <c r="N576" s="52"/>
      <c r="O576" s="46"/>
      <c r="Q576" s="139"/>
    </row>
    <row r="577" spans="1:17" s="2" customFormat="1" ht="29.45" hidden="1" customHeight="1" x14ac:dyDescent="0.25">
      <c r="A577" s="139"/>
      <c r="B577" s="107"/>
      <c r="C577" s="142">
        <v>44</v>
      </c>
      <c r="D577" s="103" t="s">
        <v>14</v>
      </c>
      <c r="E577" s="72"/>
      <c r="F577" s="72"/>
      <c r="G577" s="72"/>
      <c r="H577" s="21"/>
      <c r="I577" s="55" t="str">
        <f>IFERROR(I575-I576,"N/A")</f>
        <v>N/A</v>
      </c>
      <c r="J577" s="6"/>
      <c r="K577" s="6"/>
      <c r="L577" s="55" t="str">
        <f>IFERROR(L575-L576,"N/A")</f>
        <v>N/A</v>
      </c>
      <c r="M577" s="6"/>
      <c r="N577" s="52"/>
      <c r="O577" s="47"/>
      <c r="Q577" s="139"/>
    </row>
    <row r="578" spans="1:17" s="2" customFormat="1" ht="29.45" hidden="1" customHeight="1" x14ac:dyDescent="0.25">
      <c r="A578" s="139"/>
      <c r="B578" s="106"/>
      <c r="C578" s="142">
        <v>45</v>
      </c>
      <c r="D578" s="70" t="str">
        <f>"Average NET Monthly Rental Income (Loss) "&amp;IF(AND(ISNUMBER(I566),ISNUMBER(L566)),I566+L566,IF(ISNUMBER(I566),I566,IF(ISNUMBER(L566),L566,"____")))&amp;" months"</f>
        <v>Average NET Monthly Rental Income (Loss) ____ months</v>
      </c>
      <c r="E578" s="74"/>
      <c r="F578" s="74"/>
      <c r="G578" s="74"/>
      <c r="H578" s="75"/>
      <c r="I578" s="76"/>
      <c r="J578" s="168" t="str">
        <f>IF(AND(ISNUMBER(I566),ISNUMBER(L566),ISNUMBER(I577),ISNUMBER(L577)),((I566*I577)+(L566*L577))/(I566+L566),IF(AND(OR(NOT(ISNUMBER(L566)),NOT(ISNUMBER(L577))),ISNUMBER(I566),ISNUMBER(I577)),I577,IF(AND(OR(NOT(ISNUMBER(I566)),NOT(ISNUMBER(I577))),ISNUMBER(L566),ISNUMBER(L577)),L577,"N/A")))</f>
        <v>N/A</v>
      </c>
      <c r="K578" s="168"/>
      <c r="L578" s="76"/>
      <c r="M578" s="77"/>
      <c r="N578" s="78"/>
      <c r="O578" s="47"/>
      <c r="Q578" s="139"/>
    </row>
    <row r="579" spans="1:17" s="2" customFormat="1" ht="9.6" hidden="1" customHeight="1" thickBot="1" x14ac:dyDescent="0.3">
      <c r="A579" s="139"/>
      <c r="B579" s="106"/>
      <c r="C579" s="53"/>
      <c r="D579" s="7"/>
      <c r="E579" s="7"/>
      <c r="F579" s="7"/>
      <c r="G579" s="7"/>
      <c r="H579" s="7"/>
      <c r="I579" s="7"/>
      <c r="J579" s="7"/>
      <c r="K579" s="7"/>
      <c r="L579" s="7"/>
      <c r="M579" s="7"/>
      <c r="N579" s="54"/>
      <c r="O579" s="46"/>
      <c r="Q579" s="139"/>
    </row>
    <row r="580" spans="1:17" s="2" customFormat="1" ht="27" hidden="1" customHeight="1" thickBot="1" x14ac:dyDescent="0.3">
      <c r="A580" s="139"/>
      <c r="B580" s="107"/>
      <c r="C580" s="84"/>
      <c r="D580" s="82" t="s">
        <v>10</v>
      </c>
      <c r="E580" s="176"/>
      <c r="F580" s="176"/>
      <c r="G580" s="176"/>
      <c r="H580" s="176"/>
      <c r="I580" s="176"/>
      <c r="J580" s="176"/>
      <c r="K580" s="176"/>
      <c r="L580" s="177"/>
      <c r="M580" s="24" t="s">
        <v>8</v>
      </c>
      <c r="N580" s="85"/>
      <c r="O580" s="46"/>
      <c r="Q580" s="139"/>
    </row>
    <row r="581" spans="1:17" s="2" customFormat="1" ht="28.15" hidden="1" customHeight="1" x14ac:dyDescent="0.25">
      <c r="A581" s="139"/>
      <c r="B581" s="107"/>
      <c r="C581" s="83" t="s">
        <v>11</v>
      </c>
      <c r="D581" s="93"/>
      <c r="E581" s="94"/>
      <c r="F581" s="94"/>
      <c r="G581" s="95"/>
      <c r="H581" s="96"/>
      <c r="I581" s="97" t="str">
        <f>IF(ISNUMBER($I$8),$I$8,"")</f>
        <v/>
      </c>
      <c r="J581" s="94"/>
      <c r="K581" s="96"/>
      <c r="L581" s="97" t="str">
        <f>IF(ISNUMBER($L$8),$L$8,"")</f>
        <v/>
      </c>
      <c r="M581" s="98"/>
      <c r="N581" s="99"/>
      <c r="O581" s="46"/>
      <c r="Q581" s="139"/>
    </row>
    <row r="582" spans="1:17" s="19" customFormat="1" ht="4.5" hidden="1" customHeight="1" x14ac:dyDescent="0.25">
      <c r="A582" s="139"/>
      <c r="B582" s="106"/>
      <c r="C582" s="179">
        <v>33</v>
      </c>
      <c r="D582" s="16"/>
      <c r="E582" s="16"/>
      <c r="F582" s="16"/>
      <c r="G582" s="16"/>
      <c r="H582" s="17"/>
      <c r="I582" s="20"/>
      <c r="J582" s="16"/>
      <c r="K582" s="17"/>
      <c r="L582" s="20"/>
      <c r="M582" s="18"/>
      <c r="N582" s="51"/>
      <c r="O582" s="47"/>
      <c r="Q582" s="139"/>
    </row>
    <row r="583" spans="1:17" s="2" customFormat="1" ht="25.15" hidden="1" customHeight="1" x14ac:dyDescent="0.25">
      <c r="A583" s="139"/>
      <c r="B583" s="106"/>
      <c r="C583" s="179"/>
      <c r="D583" s="170" t="s">
        <v>395</v>
      </c>
      <c r="E583" s="170"/>
      <c r="F583" s="170"/>
      <c r="G583" s="170"/>
      <c r="H583" s="170"/>
      <c r="I583" s="164"/>
      <c r="J583" s="6"/>
      <c r="K583" s="6"/>
      <c r="L583" s="164"/>
      <c r="M583" s="6"/>
      <c r="N583" s="52"/>
      <c r="O583" s="46"/>
      <c r="Q583" s="139"/>
    </row>
    <row r="584" spans="1:17" s="2" customFormat="1" ht="25.15" hidden="1" customHeight="1" x14ac:dyDescent="0.25">
      <c r="A584" s="139"/>
      <c r="B584" s="107"/>
      <c r="C584" s="135">
        <v>34</v>
      </c>
      <c r="D584" s="169" t="s">
        <v>372</v>
      </c>
      <c r="E584" s="170"/>
      <c r="F584" s="170"/>
      <c r="G584" s="170"/>
      <c r="H584" s="170"/>
      <c r="I584" s="25"/>
      <c r="J584" s="6"/>
      <c r="K584" s="6"/>
      <c r="L584" s="26"/>
      <c r="M584" s="6"/>
      <c r="N584" s="52"/>
      <c r="O584" s="46"/>
      <c r="Q584" s="139"/>
    </row>
    <row r="585" spans="1:17" s="2" customFormat="1" ht="25.15" hidden="1" customHeight="1" x14ac:dyDescent="0.25">
      <c r="A585" s="139"/>
      <c r="B585" s="107"/>
      <c r="C585" s="135">
        <v>35</v>
      </c>
      <c r="D585" s="178" t="s">
        <v>373</v>
      </c>
      <c r="E585" s="169"/>
      <c r="F585" s="169"/>
      <c r="G585" s="169"/>
      <c r="H585" s="22" t="s">
        <v>15</v>
      </c>
      <c r="I585" s="25"/>
      <c r="J585" s="23" t="s">
        <v>16</v>
      </c>
      <c r="K585" s="22" t="s">
        <v>15</v>
      </c>
      <c r="L585" s="25"/>
      <c r="M585" s="23" t="s">
        <v>16</v>
      </c>
      <c r="N585" s="52"/>
      <c r="O585" s="46"/>
      <c r="Q585" s="139"/>
    </row>
    <row r="586" spans="1:17" s="2" customFormat="1" ht="25.15" hidden="1" customHeight="1" x14ac:dyDescent="0.25">
      <c r="A586" s="139"/>
      <c r="B586" s="107"/>
      <c r="C586" s="142">
        <v>36</v>
      </c>
      <c r="D586" s="178" t="s">
        <v>346</v>
      </c>
      <c r="E586" s="169"/>
      <c r="F586" s="169"/>
      <c r="G586" s="169"/>
      <c r="H586" s="180"/>
      <c r="I586" s="25"/>
      <c r="J586" s="133"/>
      <c r="K586" s="132"/>
      <c r="L586" s="25"/>
      <c r="M586" s="133"/>
      <c r="N586" s="52"/>
      <c r="O586" s="46"/>
      <c r="Q586" s="139"/>
    </row>
    <row r="587" spans="1:17" s="2" customFormat="1" ht="25.15" hidden="1" customHeight="1" x14ac:dyDescent="0.25">
      <c r="A587" s="139"/>
      <c r="B587" s="106"/>
      <c r="C587" s="142">
        <v>37</v>
      </c>
      <c r="D587" s="169" t="s">
        <v>347</v>
      </c>
      <c r="E587" s="170"/>
      <c r="F587" s="170"/>
      <c r="G587" s="170"/>
      <c r="H587" s="170"/>
      <c r="I587" s="25"/>
      <c r="J587" s="6"/>
      <c r="K587" s="6"/>
      <c r="L587" s="26"/>
      <c r="M587" s="6"/>
      <c r="N587" s="52"/>
      <c r="O587" s="47"/>
      <c r="Q587" s="139"/>
    </row>
    <row r="588" spans="1:17" s="2" customFormat="1" ht="25.15" hidden="1" customHeight="1" x14ac:dyDescent="0.25">
      <c r="A588" s="139"/>
      <c r="B588" s="106"/>
      <c r="C588" s="142">
        <v>38</v>
      </c>
      <c r="D588" s="169" t="s">
        <v>374</v>
      </c>
      <c r="E588" s="170"/>
      <c r="F588" s="170"/>
      <c r="G588" s="170"/>
      <c r="H588" s="170"/>
      <c r="I588" s="25"/>
      <c r="J588" s="6"/>
      <c r="K588" s="6"/>
      <c r="L588" s="26"/>
      <c r="M588" s="6"/>
      <c r="N588" s="52"/>
      <c r="O588" s="46"/>
      <c r="Q588" s="139"/>
    </row>
    <row r="589" spans="1:17" s="2" customFormat="1" ht="25.15" hidden="1" customHeight="1" x14ac:dyDescent="0.25">
      <c r="A589" s="139"/>
      <c r="B589" s="107"/>
      <c r="C589" s="142">
        <v>39</v>
      </c>
      <c r="D589" s="169" t="s">
        <v>348</v>
      </c>
      <c r="E589" s="170"/>
      <c r="F589" s="170"/>
      <c r="G589" s="170"/>
      <c r="H589" s="170"/>
      <c r="I589" s="25"/>
      <c r="J589" s="6"/>
      <c r="K589" s="6"/>
      <c r="L589" s="26"/>
      <c r="M589" s="6"/>
      <c r="N589" s="52"/>
      <c r="O589" s="46"/>
      <c r="Q589" s="139"/>
    </row>
    <row r="590" spans="1:17" s="2" customFormat="1" ht="37.9" hidden="1" customHeight="1" x14ac:dyDescent="0.25">
      <c r="A590" s="139"/>
      <c r="B590" s="107"/>
      <c r="C590" s="142">
        <v>40</v>
      </c>
      <c r="D590" s="134" t="s">
        <v>9</v>
      </c>
      <c r="E590" s="181" t="s">
        <v>349</v>
      </c>
      <c r="F590" s="182"/>
      <c r="G590" s="182"/>
      <c r="H590" s="12"/>
      <c r="I590" s="25"/>
      <c r="J590" s="6"/>
      <c r="K590" s="6"/>
      <c r="L590" s="26"/>
      <c r="M590" s="6"/>
      <c r="N590" s="52"/>
      <c r="O590" s="46"/>
      <c r="Q590" s="139"/>
    </row>
    <row r="591" spans="1:17" s="2" customFormat="1" ht="37.9" hidden="1" customHeight="1" x14ac:dyDescent="0.25">
      <c r="A591" s="139"/>
      <c r="B591" s="106"/>
      <c r="C591" s="142">
        <v>41</v>
      </c>
      <c r="D591" s="73" t="s">
        <v>12</v>
      </c>
      <c r="E591" s="136"/>
      <c r="F591" s="136"/>
      <c r="G591" s="136"/>
      <c r="H591" s="14"/>
      <c r="I591" s="28">
        <f>I584-I585+SUM(I586:I590)</f>
        <v>0</v>
      </c>
      <c r="J591" s="29"/>
      <c r="K591" s="29"/>
      <c r="L591" s="28">
        <f>L584-L585+SUM(L586:L590)</f>
        <v>0</v>
      </c>
      <c r="M591" s="6"/>
      <c r="N591" s="52"/>
      <c r="O591" s="47"/>
      <c r="Q591" s="139"/>
    </row>
    <row r="592" spans="1:17" s="2" customFormat="1" ht="29.45" hidden="1" customHeight="1" x14ac:dyDescent="0.25">
      <c r="A592" s="139"/>
      <c r="B592" s="106"/>
      <c r="C592" s="142">
        <v>42</v>
      </c>
      <c r="D592" s="102" t="s">
        <v>13</v>
      </c>
      <c r="E592" s="13"/>
      <c r="F592" s="13"/>
      <c r="G592" s="13"/>
      <c r="H592" s="14"/>
      <c r="I592" s="30" t="str">
        <f>IFERROR(I591/I583,"N/A")</f>
        <v>N/A</v>
      </c>
      <c r="J592" s="29"/>
      <c r="K592" s="29"/>
      <c r="L592" s="30" t="str">
        <f>IFERROR(L591/L583,"N/A")</f>
        <v>N/A</v>
      </c>
      <c r="M592" s="6"/>
      <c r="N592" s="52"/>
      <c r="O592" s="46"/>
      <c r="Q592" s="139"/>
    </row>
    <row r="593" spans="1:17" s="2" customFormat="1" ht="25.15" hidden="1" customHeight="1" x14ac:dyDescent="0.25">
      <c r="A593" s="139"/>
      <c r="B593" s="107"/>
      <c r="C593" s="142">
        <v>43</v>
      </c>
      <c r="D593" s="15" t="s">
        <v>340</v>
      </c>
      <c r="E593" s="12"/>
      <c r="F593" s="12"/>
      <c r="G593" s="12"/>
      <c r="H593" s="22" t="s">
        <v>15</v>
      </c>
      <c r="I593" s="27"/>
      <c r="J593" s="23" t="s">
        <v>16</v>
      </c>
      <c r="K593" s="22" t="s">
        <v>15</v>
      </c>
      <c r="L593" s="27"/>
      <c r="M593" s="23" t="s">
        <v>16</v>
      </c>
      <c r="N593" s="52"/>
      <c r="O593" s="46"/>
      <c r="Q593" s="139"/>
    </row>
    <row r="594" spans="1:17" s="2" customFormat="1" ht="29.45" hidden="1" customHeight="1" x14ac:dyDescent="0.25">
      <c r="A594" s="139"/>
      <c r="B594" s="107"/>
      <c r="C594" s="142">
        <v>44</v>
      </c>
      <c r="D594" s="103" t="s">
        <v>14</v>
      </c>
      <c r="E594" s="72"/>
      <c r="F594" s="72"/>
      <c r="G594" s="72"/>
      <c r="H594" s="21"/>
      <c r="I594" s="55" t="str">
        <f>IFERROR(I592-I593,"N/A")</f>
        <v>N/A</v>
      </c>
      <c r="J594" s="6"/>
      <c r="K594" s="6"/>
      <c r="L594" s="55" t="str">
        <f>IFERROR(L592-L593,"N/A")</f>
        <v>N/A</v>
      </c>
      <c r="M594" s="6"/>
      <c r="N594" s="52"/>
      <c r="O594" s="47"/>
      <c r="Q594" s="139"/>
    </row>
    <row r="595" spans="1:17" s="2" customFormat="1" ht="29.45" hidden="1" customHeight="1" x14ac:dyDescent="0.25">
      <c r="A595" s="139"/>
      <c r="B595" s="106"/>
      <c r="C595" s="142">
        <v>45</v>
      </c>
      <c r="D595" s="70" t="str">
        <f>"Average NET Monthly Rental Income (Loss) "&amp;IF(AND(ISNUMBER(I583),ISNUMBER(L583)),I583+L583,IF(ISNUMBER(I583),I583,IF(ISNUMBER(L583),L583,"____")))&amp;" months"</f>
        <v>Average NET Monthly Rental Income (Loss) ____ months</v>
      </c>
      <c r="E595" s="74"/>
      <c r="F595" s="74"/>
      <c r="G595" s="74"/>
      <c r="H595" s="75"/>
      <c r="I595" s="76"/>
      <c r="J595" s="168" t="str">
        <f>IF(AND(ISNUMBER(I583),ISNUMBER(L583),ISNUMBER(I594),ISNUMBER(L594)),((I583*I594)+(L583*L594))/(I583+L583),IF(AND(OR(NOT(ISNUMBER(L583)),NOT(ISNUMBER(L594))),ISNUMBER(I583),ISNUMBER(I594)),I594,IF(AND(OR(NOT(ISNUMBER(I583)),NOT(ISNUMBER(I594))),ISNUMBER(L583),ISNUMBER(L594)),L594,"N/A")))</f>
        <v>N/A</v>
      </c>
      <c r="K595" s="168"/>
      <c r="L595" s="76"/>
      <c r="M595" s="77"/>
      <c r="N595" s="78"/>
      <c r="O595" s="47"/>
      <c r="Q595" s="139"/>
    </row>
    <row r="596" spans="1:17" s="2" customFormat="1" ht="9.6" hidden="1" customHeight="1" thickBot="1" x14ac:dyDescent="0.3">
      <c r="A596" s="139"/>
      <c r="B596" s="106"/>
      <c r="C596" s="53"/>
      <c r="D596" s="7"/>
      <c r="E596" s="7"/>
      <c r="F596" s="7"/>
      <c r="G596" s="7"/>
      <c r="H596" s="7"/>
      <c r="I596" s="7"/>
      <c r="J596" s="7"/>
      <c r="K596" s="7"/>
      <c r="L596" s="7"/>
      <c r="M596" s="7"/>
      <c r="N596" s="54"/>
      <c r="O596" s="46"/>
      <c r="Q596" s="139"/>
    </row>
    <row r="597" spans="1:17" s="2" customFormat="1" ht="27" hidden="1" customHeight="1" thickBot="1" x14ac:dyDescent="0.3">
      <c r="A597" s="139"/>
      <c r="B597" s="107"/>
      <c r="C597" s="84"/>
      <c r="D597" s="82" t="s">
        <v>10</v>
      </c>
      <c r="E597" s="176"/>
      <c r="F597" s="176"/>
      <c r="G597" s="176"/>
      <c r="H597" s="176"/>
      <c r="I597" s="176"/>
      <c r="J597" s="176"/>
      <c r="K597" s="176"/>
      <c r="L597" s="177"/>
      <c r="M597" s="24" t="s">
        <v>8</v>
      </c>
      <c r="N597" s="85"/>
      <c r="O597" s="46"/>
      <c r="Q597" s="139"/>
    </row>
    <row r="598" spans="1:17" s="2" customFormat="1" ht="28.15" hidden="1" customHeight="1" x14ac:dyDescent="0.25">
      <c r="A598" s="139"/>
      <c r="B598" s="107"/>
      <c r="C598" s="83" t="s">
        <v>11</v>
      </c>
      <c r="D598" s="93"/>
      <c r="E598" s="94"/>
      <c r="F598" s="94"/>
      <c r="G598" s="95"/>
      <c r="H598" s="96"/>
      <c r="I598" s="97" t="str">
        <f>IF(ISNUMBER($I$8),$I$8,"")</f>
        <v/>
      </c>
      <c r="J598" s="94"/>
      <c r="K598" s="96"/>
      <c r="L598" s="97" t="str">
        <f>IF(ISNUMBER($L$8),$L$8,"")</f>
        <v/>
      </c>
      <c r="M598" s="98"/>
      <c r="N598" s="99"/>
      <c r="O598" s="46"/>
      <c r="Q598" s="139"/>
    </row>
    <row r="599" spans="1:17" s="19" customFormat="1" ht="4.5" hidden="1" customHeight="1" x14ac:dyDescent="0.25">
      <c r="A599" s="139"/>
      <c r="B599" s="106"/>
      <c r="C599" s="179">
        <v>33</v>
      </c>
      <c r="D599" s="16"/>
      <c r="E599" s="16"/>
      <c r="F599" s="16"/>
      <c r="G599" s="16"/>
      <c r="H599" s="17"/>
      <c r="I599" s="20"/>
      <c r="J599" s="16"/>
      <c r="K599" s="17"/>
      <c r="L599" s="20"/>
      <c r="M599" s="18"/>
      <c r="N599" s="51"/>
      <c r="O599" s="47"/>
      <c r="Q599" s="139"/>
    </row>
    <row r="600" spans="1:17" s="2" customFormat="1" ht="25.15" hidden="1" customHeight="1" x14ac:dyDescent="0.25">
      <c r="A600" s="139"/>
      <c r="B600" s="106"/>
      <c r="C600" s="179"/>
      <c r="D600" s="170" t="s">
        <v>395</v>
      </c>
      <c r="E600" s="170"/>
      <c r="F600" s="170"/>
      <c r="G600" s="170"/>
      <c r="H600" s="170"/>
      <c r="I600" s="164"/>
      <c r="J600" s="6"/>
      <c r="K600" s="6"/>
      <c r="L600" s="164"/>
      <c r="M600" s="6"/>
      <c r="N600" s="52"/>
      <c r="O600" s="46"/>
      <c r="Q600" s="139"/>
    </row>
    <row r="601" spans="1:17" s="2" customFormat="1" ht="25.15" hidden="1" customHeight="1" x14ac:dyDescent="0.25">
      <c r="A601" s="139"/>
      <c r="B601" s="107"/>
      <c r="C601" s="135">
        <v>34</v>
      </c>
      <c r="D601" s="169" t="s">
        <v>372</v>
      </c>
      <c r="E601" s="170"/>
      <c r="F601" s="170"/>
      <c r="G601" s="170"/>
      <c r="H601" s="170"/>
      <c r="I601" s="25"/>
      <c r="J601" s="6"/>
      <c r="K601" s="6"/>
      <c r="L601" s="26"/>
      <c r="M601" s="6"/>
      <c r="N601" s="52"/>
      <c r="O601" s="46"/>
      <c r="Q601" s="139"/>
    </row>
    <row r="602" spans="1:17" s="2" customFormat="1" ht="25.15" hidden="1" customHeight="1" x14ac:dyDescent="0.25">
      <c r="A602" s="139"/>
      <c r="B602" s="107"/>
      <c r="C602" s="135">
        <v>35</v>
      </c>
      <c r="D602" s="178" t="s">
        <v>373</v>
      </c>
      <c r="E602" s="169"/>
      <c r="F602" s="169"/>
      <c r="G602" s="169"/>
      <c r="H602" s="22" t="s">
        <v>15</v>
      </c>
      <c r="I602" s="25"/>
      <c r="J602" s="23" t="s">
        <v>16</v>
      </c>
      <c r="K602" s="22" t="s">
        <v>15</v>
      </c>
      <c r="L602" s="25"/>
      <c r="M602" s="23" t="s">
        <v>16</v>
      </c>
      <c r="N602" s="52"/>
      <c r="O602" s="46"/>
      <c r="Q602" s="139"/>
    </row>
    <row r="603" spans="1:17" s="2" customFormat="1" ht="25.15" hidden="1" customHeight="1" x14ac:dyDescent="0.25">
      <c r="A603" s="139"/>
      <c r="B603" s="107"/>
      <c r="C603" s="142">
        <v>36</v>
      </c>
      <c r="D603" s="178" t="s">
        <v>346</v>
      </c>
      <c r="E603" s="169"/>
      <c r="F603" s="169"/>
      <c r="G603" s="169"/>
      <c r="H603" s="180"/>
      <c r="I603" s="25"/>
      <c r="J603" s="133"/>
      <c r="K603" s="132"/>
      <c r="L603" s="25"/>
      <c r="M603" s="133"/>
      <c r="N603" s="52"/>
      <c r="O603" s="46"/>
      <c r="Q603" s="139"/>
    </row>
    <row r="604" spans="1:17" s="2" customFormat="1" ht="25.15" hidden="1" customHeight="1" x14ac:dyDescent="0.25">
      <c r="A604" s="139"/>
      <c r="B604" s="106"/>
      <c r="C604" s="142">
        <v>37</v>
      </c>
      <c r="D604" s="169" t="s">
        <v>347</v>
      </c>
      <c r="E604" s="170"/>
      <c r="F604" s="170"/>
      <c r="G604" s="170"/>
      <c r="H604" s="170"/>
      <c r="I604" s="25"/>
      <c r="J604" s="6"/>
      <c r="K604" s="6"/>
      <c r="L604" s="26"/>
      <c r="M604" s="6"/>
      <c r="N604" s="52"/>
      <c r="O604" s="47"/>
      <c r="Q604" s="139"/>
    </row>
    <row r="605" spans="1:17" s="2" customFormat="1" ht="25.15" hidden="1" customHeight="1" x14ac:dyDescent="0.25">
      <c r="A605" s="139"/>
      <c r="B605" s="106"/>
      <c r="C605" s="142">
        <v>38</v>
      </c>
      <c r="D605" s="169" t="s">
        <v>374</v>
      </c>
      <c r="E605" s="170"/>
      <c r="F605" s="170"/>
      <c r="G605" s="170"/>
      <c r="H605" s="170"/>
      <c r="I605" s="25"/>
      <c r="J605" s="6"/>
      <c r="K605" s="6"/>
      <c r="L605" s="26"/>
      <c r="M605" s="6"/>
      <c r="N605" s="52"/>
      <c r="O605" s="46"/>
      <c r="Q605" s="139"/>
    </row>
    <row r="606" spans="1:17" s="2" customFormat="1" ht="25.15" hidden="1" customHeight="1" x14ac:dyDescent="0.25">
      <c r="A606" s="139"/>
      <c r="B606" s="107"/>
      <c r="C606" s="142">
        <v>39</v>
      </c>
      <c r="D606" s="169" t="s">
        <v>348</v>
      </c>
      <c r="E606" s="170"/>
      <c r="F606" s="170"/>
      <c r="G606" s="170"/>
      <c r="H606" s="170"/>
      <c r="I606" s="25"/>
      <c r="J606" s="6"/>
      <c r="K606" s="6"/>
      <c r="L606" s="26"/>
      <c r="M606" s="6"/>
      <c r="N606" s="52"/>
      <c r="O606" s="46"/>
      <c r="Q606" s="139"/>
    </row>
    <row r="607" spans="1:17" s="2" customFormat="1" ht="37.9" hidden="1" customHeight="1" x14ac:dyDescent="0.25">
      <c r="A607" s="139"/>
      <c r="B607" s="107"/>
      <c r="C607" s="142">
        <v>40</v>
      </c>
      <c r="D607" s="134" t="s">
        <v>9</v>
      </c>
      <c r="E607" s="181" t="s">
        <v>349</v>
      </c>
      <c r="F607" s="182"/>
      <c r="G607" s="182"/>
      <c r="H607" s="12"/>
      <c r="I607" s="25"/>
      <c r="J607" s="6"/>
      <c r="K607" s="6"/>
      <c r="L607" s="26"/>
      <c r="M607" s="6"/>
      <c r="N607" s="52"/>
      <c r="O607" s="46"/>
      <c r="Q607" s="139"/>
    </row>
    <row r="608" spans="1:17" s="2" customFormat="1" ht="37.9" hidden="1" customHeight="1" x14ac:dyDescent="0.25">
      <c r="A608" s="139"/>
      <c r="B608" s="106"/>
      <c r="C608" s="142">
        <v>41</v>
      </c>
      <c r="D608" s="73" t="s">
        <v>12</v>
      </c>
      <c r="E608" s="136"/>
      <c r="F608" s="136"/>
      <c r="G608" s="136"/>
      <c r="H608" s="14"/>
      <c r="I608" s="28">
        <f>I601-I602+SUM(I603:I607)</f>
        <v>0</v>
      </c>
      <c r="J608" s="29"/>
      <c r="K608" s="29"/>
      <c r="L608" s="28">
        <f>L601-L602+SUM(L603:L607)</f>
        <v>0</v>
      </c>
      <c r="M608" s="6"/>
      <c r="N608" s="52"/>
      <c r="O608" s="47"/>
      <c r="Q608" s="139"/>
    </row>
    <row r="609" spans="1:17" s="2" customFormat="1" ht="29.45" hidden="1" customHeight="1" x14ac:dyDescent="0.25">
      <c r="A609" s="139"/>
      <c r="B609" s="106"/>
      <c r="C609" s="142">
        <v>42</v>
      </c>
      <c r="D609" s="102" t="s">
        <v>13</v>
      </c>
      <c r="E609" s="13"/>
      <c r="F609" s="13"/>
      <c r="G609" s="13"/>
      <c r="H609" s="14"/>
      <c r="I609" s="30" t="str">
        <f>IFERROR(I608/I600,"N/A")</f>
        <v>N/A</v>
      </c>
      <c r="J609" s="29"/>
      <c r="K609" s="29"/>
      <c r="L609" s="30" t="str">
        <f>IFERROR(L608/L600,"N/A")</f>
        <v>N/A</v>
      </c>
      <c r="M609" s="6"/>
      <c r="N609" s="52"/>
      <c r="O609" s="46"/>
      <c r="Q609" s="139"/>
    </row>
    <row r="610" spans="1:17" s="2" customFormat="1" ht="25.15" hidden="1" customHeight="1" x14ac:dyDescent="0.25">
      <c r="A610" s="139"/>
      <c r="B610" s="107"/>
      <c r="C610" s="142">
        <v>43</v>
      </c>
      <c r="D610" s="15" t="s">
        <v>340</v>
      </c>
      <c r="E610" s="12"/>
      <c r="F610" s="12"/>
      <c r="G610" s="12"/>
      <c r="H610" s="22" t="s">
        <v>15</v>
      </c>
      <c r="I610" s="27"/>
      <c r="J610" s="23" t="s">
        <v>16</v>
      </c>
      <c r="K610" s="22" t="s">
        <v>15</v>
      </c>
      <c r="L610" s="27"/>
      <c r="M610" s="23" t="s">
        <v>16</v>
      </c>
      <c r="N610" s="52"/>
      <c r="O610" s="46"/>
      <c r="Q610" s="139"/>
    </row>
    <row r="611" spans="1:17" s="2" customFormat="1" ht="29.45" hidden="1" customHeight="1" x14ac:dyDescent="0.25">
      <c r="A611" s="139"/>
      <c r="B611" s="107"/>
      <c r="C611" s="142">
        <v>44</v>
      </c>
      <c r="D611" s="103" t="s">
        <v>14</v>
      </c>
      <c r="E611" s="72"/>
      <c r="F611" s="72"/>
      <c r="G611" s="72"/>
      <c r="H611" s="21"/>
      <c r="I611" s="55" t="str">
        <f>IFERROR(I609-I610,"N/A")</f>
        <v>N/A</v>
      </c>
      <c r="J611" s="6"/>
      <c r="K611" s="6"/>
      <c r="L611" s="55" t="str">
        <f>IFERROR(L609-L610,"N/A")</f>
        <v>N/A</v>
      </c>
      <c r="M611" s="6"/>
      <c r="N611" s="52"/>
      <c r="O611" s="47"/>
      <c r="Q611" s="139"/>
    </row>
    <row r="612" spans="1:17" s="2" customFormat="1" ht="29.45" hidden="1" customHeight="1" x14ac:dyDescent="0.25">
      <c r="A612" s="139"/>
      <c r="B612" s="106"/>
      <c r="C612" s="142">
        <v>45</v>
      </c>
      <c r="D612" s="70" t="str">
        <f>"Average NET Monthly Rental Income (Loss) "&amp;IF(AND(ISNUMBER(I600),ISNUMBER(L600)),I600+L600,IF(ISNUMBER(I600),I600,IF(ISNUMBER(L600),L600,"____")))&amp;" months"</f>
        <v>Average NET Monthly Rental Income (Loss) ____ months</v>
      </c>
      <c r="E612" s="74"/>
      <c r="F612" s="74"/>
      <c r="G612" s="74"/>
      <c r="H612" s="75"/>
      <c r="I612" s="76"/>
      <c r="J612" s="168" t="str">
        <f>IF(AND(ISNUMBER(I600),ISNUMBER(L600),ISNUMBER(I611),ISNUMBER(L611)),((I600*I611)+(L600*L611))/(I600+L600),IF(AND(OR(NOT(ISNUMBER(L600)),NOT(ISNUMBER(L611))),ISNUMBER(I600),ISNUMBER(I611)),I611,IF(AND(OR(NOT(ISNUMBER(I600)),NOT(ISNUMBER(I611))),ISNUMBER(L600),ISNUMBER(L611)),L611,"N/A")))</f>
        <v>N/A</v>
      </c>
      <c r="K612" s="168"/>
      <c r="L612" s="76"/>
      <c r="M612" s="77"/>
      <c r="N612" s="78"/>
      <c r="O612" s="47"/>
      <c r="Q612" s="139"/>
    </row>
    <row r="613" spans="1:17" s="2" customFormat="1" ht="9.6" hidden="1" customHeight="1" thickBot="1" x14ac:dyDescent="0.3">
      <c r="A613" s="139"/>
      <c r="B613" s="106"/>
      <c r="C613" s="53"/>
      <c r="D613" s="7"/>
      <c r="E613" s="7"/>
      <c r="F613" s="7"/>
      <c r="G613" s="7"/>
      <c r="H613" s="7"/>
      <c r="I613" s="7"/>
      <c r="J613" s="7"/>
      <c r="K613" s="7"/>
      <c r="L613" s="7"/>
      <c r="M613" s="7"/>
      <c r="N613" s="54"/>
      <c r="O613" s="46"/>
      <c r="Q613" s="139"/>
    </row>
    <row r="614" spans="1:17" s="2" customFormat="1" ht="10.9" customHeight="1" thickBot="1" x14ac:dyDescent="0.3">
      <c r="A614" s="140"/>
      <c r="B614" s="107"/>
      <c r="C614" s="63"/>
      <c r="D614" s="63"/>
      <c r="E614" s="63"/>
      <c r="F614" s="63"/>
      <c r="G614" s="63"/>
      <c r="H614" s="63"/>
      <c r="I614" s="63"/>
      <c r="J614" s="63"/>
      <c r="K614" s="63"/>
      <c r="L614" s="63"/>
      <c r="M614" s="63"/>
      <c r="N614" s="63"/>
      <c r="O614" s="46"/>
      <c r="P614" s="105"/>
      <c r="Q614" s="139"/>
    </row>
    <row r="615" spans="1:17" ht="28.15" customHeight="1" thickBot="1" x14ac:dyDescent="0.3">
      <c r="B615" s="107"/>
      <c r="C615" s="35"/>
      <c r="D615" s="194" t="s">
        <v>335</v>
      </c>
      <c r="E615" s="195"/>
      <c r="F615" s="195"/>
      <c r="G615" s="195"/>
      <c r="H615" s="195"/>
      <c r="I615" s="36"/>
      <c r="J615" s="36"/>
      <c r="K615" s="36"/>
      <c r="L615" s="36"/>
      <c r="M615" s="36"/>
      <c r="N615" s="38"/>
      <c r="O615" s="45"/>
    </row>
    <row r="616" spans="1:17" ht="6" hidden="1" customHeight="1" thickBot="1" x14ac:dyDescent="0.3">
      <c r="B616" s="107"/>
      <c r="C616" s="40"/>
      <c r="D616" s="4"/>
      <c r="E616" s="4"/>
      <c r="F616" s="4"/>
      <c r="G616" s="4"/>
      <c r="H616" s="4"/>
      <c r="I616" s="4"/>
      <c r="J616" s="4"/>
      <c r="K616" s="4"/>
      <c r="L616" s="4"/>
      <c r="M616" s="4"/>
      <c r="N616" s="48"/>
      <c r="O616" s="45"/>
    </row>
    <row r="617" spans="1:17" s="2" customFormat="1" ht="27" hidden="1" customHeight="1" thickBot="1" x14ac:dyDescent="0.3">
      <c r="A617" s="139"/>
      <c r="B617" s="107"/>
      <c r="C617" s="84"/>
      <c r="D617" s="82" t="s">
        <v>10</v>
      </c>
      <c r="E617" s="176"/>
      <c r="F617" s="176"/>
      <c r="G617" s="176"/>
      <c r="H617" s="176"/>
      <c r="I617" s="176"/>
      <c r="J617" s="176"/>
      <c r="K617" s="176"/>
      <c r="L617" s="177"/>
      <c r="M617" s="24" t="s">
        <v>8</v>
      </c>
      <c r="N617" s="85"/>
      <c r="O617" s="46"/>
      <c r="Q617" s="139"/>
    </row>
    <row r="618" spans="1:17" s="2" customFormat="1" ht="28.15" hidden="1" customHeight="1" x14ac:dyDescent="0.25">
      <c r="A618" s="139"/>
      <c r="B618" s="107"/>
      <c r="C618" s="100" t="s">
        <v>11</v>
      </c>
      <c r="D618" s="93"/>
      <c r="E618" s="94"/>
      <c r="F618" s="94"/>
      <c r="G618" s="95"/>
      <c r="H618" s="96"/>
      <c r="I618" s="97"/>
      <c r="J618" s="97"/>
      <c r="K618" s="97"/>
      <c r="L618" s="101"/>
      <c r="M618" s="98"/>
      <c r="N618" s="99"/>
      <c r="O618" s="46"/>
      <c r="Q618" s="139"/>
    </row>
    <row r="619" spans="1:17" s="19" customFormat="1" ht="4.5" hidden="1" customHeight="1" x14ac:dyDescent="0.25">
      <c r="A619" s="139"/>
      <c r="B619" s="108"/>
      <c r="C619" s="179">
        <v>46</v>
      </c>
      <c r="D619" s="16"/>
      <c r="E619" s="16"/>
      <c r="F619" s="16"/>
      <c r="G619" s="16"/>
      <c r="H619" s="17"/>
      <c r="I619" s="20"/>
      <c r="J619" s="16"/>
      <c r="K619" s="17"/>
      <c r="L619" s="20"/>
      <c r="M619" s="18"/>
      <c r="N619" s="51"/>
      <c r="O619" s="47"/>
      <c r="Q619" s="139"/>
    </row>
    <row r="620" spans="1:17" s="2" customFormat="1" ht="25.15" hidden="1" customHeight="1" x14ac:dyDescent="0.25">
      <c r="A620" s="139"/>
      <c r="B620" s="107"/>
      <c r="C620" s="179"/>
      <c r="D620" s="170" t="s">
        <v>336</v>
      </c>
      <c r="E620" s="170"/>
      <c r="F620" s="170"/>
      <c r="G620" s="170"/>
      <c r="H620" s="170"/>
      <c r="I620" s="60"/>
      <c r="J620" s="183"/>
      <c r="K620" s="184"/>
      <c r="L620" s="60"/>
      <c r="M620" s="6"/>
      <c r="N620" s="52"/>
      <c r="O620" s="46"/>
      <c r="Q620" s="139"/>
    </row>
    <row r="621" spans="1:17" s="2" customFormat="1" ht="25.15" hidden="1" customHeight="1" x14ac:dyDescent="0.25">
      <c r="A621" s="139"/>
      <c r="B621" s="107"/>
      <c r="C621" s="79">
        <v>47</v>
      </c>
      <c r="D621" s="169" t="s">
        <v>337</v>
      </c>
      <c r="E621" s="170"/>
      <c r="F621" s="170"/>
      <c r="G621" s="170"/>
      <c r="H621" s="170"/>
      <c r="I621" s="61"/>
      <c r="J621" s="171">
        <f>-0.25*J620</f>
        <v>0</v>
      </c>
      <c r="K621" s="172"/>
      <c r="L621" s="62"/>
      <c r="M621" s="6"/>
      <c r="N621" s="52"/>
      <c r="O621" s="46"/>
      <c r="Q621" s="139"/>
    </row>
    <row r="622" spans="1:17" s="2" customFormat="1" ht="25.15" hidden="1" customHeight="1" x14ac:dyDescent="0.25">
      <c r="A622" s="139"/>
      <c r="B622" s="107"/>
      <c r="C622" s="79">
        <v>48</v>
      </c>
      <c r="D622" s="169" t="s">
        <v>338</v>
      </c>
      <c r="E622" s="170"/>
      <c r="F622" s="170"/>
      <c r="G622" s="170"/>
      <c r="H622" s="170"/>
      <c r="I622" s="61"/>
      <c r="J622" s="171">
        <f>J620+J621</f>
        <v>0</v>
      </c>
      <c r="K622" s="172"/>
      <c r="L622" s="62"/>
      <c r="M622" s="6"/>
      <c r="N622" s="52"/>
      <c r="O622" s="46"/>
      <c r="Q622" s="139"/>
    </row>
    <row r="623" spans="1:17" s="2" customFormat="1" ht="25.15" hidden="1" customHeight="1" x14ac:dyDescent="0.25">
      <c r="A623" s="139"/>
      <c r="B623" s="108"/>
      <c r="C623" s="142">
        <v>49</v>
      </c>
      <c r="D623" s="170" t="s">
        <v>340</v>
      </c>
      <c r="E623" s="170"/>
      <c r="F623" s="170"/>
      <c r="G623" s="170"/>
      <c r="H623" s="170"/>
      <c r="I623" s="119" t="s">
        <v>15</v>
      </c>
      <c r="J623" s="183"/>
      <c r="K623" s="184"/>
      <c r="L623" s="104" t="s">
        <v>16</v>
      </c>
      <c r="M623" s="6"/>
      <c r="N623" s="52"/>
      <c r="O623" s="46"/>
      <c r="Q623" s="139"/>
    </row>
    <row r="624" spans="1:17" s="2" customFormat="1" ht="25.15" hidden="1" customHeight="1" x14ac:dyDescent="0.25">
      <c r="A624" s="139"/>
      <c r="B624" s="107"/>
      <c r="C624" s="142">
        <v>50</v>
      </c>
      <c r="D624" s="173" t="s">
        <v>14</v>
      </c>
      <c r="E624" s="174"/>
      <c r="F624" s="174"/>
      <c r="G624" s="174"/>
      <c r="H624" s="174"/>
      <c r="I624" s="120"/>
      <c r="J624" s="175">
        <f>J622-J623</f>
        <v>0</v>
      </c>
      <c r="K624" s="172"/>
      <c r="L624" s="62"/>
      <c r="M624" s="6"/>
      <c r="N624" s="52"/>
      <c r="O624" s="46"/>
      <c r="Q624" s="139"/>
    </row>
    <row r="625" spans="1:17" ht="6" hidden="1" customHeight="1" thickBot="1" x14ac:dyDescent="0.3">
      <c r="B625" s="107"/>
      <c r="C625" s="66"/>
      <c r="D625" s="4"/>
      <c r="E625" s="4"/>
      <c r="F625" s="4"/>
      <c r="G625" s="4"/>
      <c r="H625" s="4"/>
      <c r="I625" s="4"/>
      <c r="J625" s="4"/>
      <c r="K625" s="4"/>
      <c r="L625" s="4"/>
      <c r="M625" s="4"/>
      <c r="N625" s="67"/>
      <c r="O625" s="45"/>
    </row>
    <row r="626" spans="1:17" s="2" customFormat="1" ht="27" hidden="1" customHeight="1" thickBot="1" x14ac:dyDescent="0.3">
      <c r="A626" s="139"/>
      <c r="B626" s="107"/>
      <c r="C626" s="84"/>
      <c r="D626" s="82" t="s">
        <v>10</v>
      </c>
      <c r="E626" s="176"/>
      <c r="F626" s="176"/>
      <c r="G626" s="176"/>
      <c r="H626" s="176"/>
      <c r="I626" s="176"/>
      <c r="J626" s="176"/>
      <c r="K626" s="176"/>
      <c r="L626" s="177"/>
      <c r="M626" s="24" t="s">
        <v>8</v>
      </c>
      <c r="N626" s="85"/>
      <c r="O626" s="46"/>
      <c r="Q626" s="139"/>
    </row>
    <row r="627" spans="1:17" s="2" customFormat="1" ht="28.15" hidden="1" customHeight="1" x14ac:dyDescent="0.25">
      <c r="A627" s="139"/>
      <c r="B627" s="108"/>
      <c r="C627" s="100" t="s">
        <v>11</v>
      </c>
      <c r="D627" s="93"/>
      <c r="E627" s="94"/>
      <c r="F627" s="94"/>
      <c r="G627" s="95"/>
      <c r="H627" s="96"/>
      <c r="I627" s="97"/>
      <c r="J627" s="97"/>
      <c r="K627" s="97"/>
      <c r="L627" s="101"/>
      <c r="M627" s="98"/>
      <c r="N627" s="99"/>
      <c r="O627" s="46"/>
      <c r="Q627" s="139"/>
    </row>
    <row r="628" spans="1:17" s="19" customFormat="1" ht="4.5" hidden="1" customHeight="1" x14ac:dyDescent="0.25">
      <c r="A628" s="139"/>
      <c r="B628" s="107"/>
      <c r="C628" s="179">
        <v>46</v>
      </c>
      <c r="D628" s="16"/>
      <c r="E628" s="16"/>
      <c r="F628" s="16"/>
      <c r="G628" s="16"/>
      <c r="H628" s="17"/>
      <c r="I628" s="20"/>
      <c r="J628" s="16"/>
      <c r="K628" s="17"/>
      <c r="L628" s="20"/>
      <c r="M628" s="18"/>
      <c r="N628" s="51"/>
      <c r="O628" s="47"/>
      <c r="Q628" s="139"/>
    </row>
    <row r="629" spans="1:17" s="2" customFormat="1" ht="25.15" hidden="1" customHeight="1" x14ac:dyDescent="0.25">
      <c r="A629" s="139"/>
      <c r="B629" s="107"/>
      <c r="C629" s="179"/>
      <c r="D629" s="170" t="s">
        <v>336</v>
      </c>
      <c r="E629" s="170"/>
      <c r="F629" s="170"/>
      <c r="G629" s="170"/>
      <c r="H629" s="170"/>
      <c r="I629" s="60"/>
      <c r="J629" s="183"/>
      <c r="K629" s="184"/>
      <c r="L629" s="60"/>
      <c r="M629" s="6"/>
      <c r="N629" s="52"/>
      <c r="O629" s="46"/>
      <c r="Q629" s="139"/>
    </row>
    <row r="630" spans="1:17" s="2" customFormat="1" ht="25.15" hidden="1" customHeight="1" x14ac:dyDescent="0.25">
      <c r="A630" s="139"/>
      <c r="B630" s="107"/>
      <c r="C630" s="79">
        <v>47</v>
      </c>
      <c r="D630" s="169" t="s">
        <v>337</v>
      </c>
      <c r="E630" s="170"/>
      <c r="F630" s="170"/>
      <c r="G630" s="170"/>
      <c r="H630" s="170"/>
      <c r="I630" s="61"/>
      <c r="J630" s="171">
        <f>-0.25*J629</f>
        <v>0</v>
      </c>
      <c r="K630" s="172"/>
      <c r="L630" s="62"/>
      <c r="M630" s="6"/>
      <c r="N630" s="52"/>
      <c r="O630" s="46"/>
      <c r="Q630" s="139"/>
    </row>
    <row r="631" spans="1:17" s="2" customFormat="1" ht="25.15" hidden="1" customHeight="1" x14ac:dyDescent="0.25">
      <c r="A631" s="139"/>
      <c r="B631" s="108"/>
      <c r="C631" s="79">
        <v>48</v>
      </c>
      <c r="D631" s="169" t="s">
        <v>338</v>
      </c>
      <c r="E631" s="170"/>
      <c r="F631" s="170"/>
      <c r="G631" s="170"/>
      <c r="H631" s="170"/>
      <c r="I631" s="61"/>
      <c r="J631" s="171">
        <f>J629+J630</f>
        <v>0</v>
      </c>
      <c r="K631" s="172"/>
      <c r="L631" s="62"/>
      <c r="M631" s="6"/>
      <c r="N631" s="52"/>
      <c r="O631" s="46"/>
      <c r="Q631" s="139"/>
    </row>
    <row r="632" spans="1:17" s="2" customFormat="1" ht="25.15" hidden="1" customHeight="1" x14ac:dyDescent="0.25">
      <c r="A632" s="139"/>
      <c r="B632" s="107"/>
      <c r="C632" s="142">
        <v>49</v>
      </c>
      <c r="D632" s="170" t="s">
        <v>340</v>
      </c>
      <c r="E632" s="170"/>
      <c r="F632" s="170"/>
      <c r="G632" s="170"/>
      <c r="H632" s="170"/>
      <c r="I632" s="119" t="s">
        <v>15</v>
      </c>
      <c r="J632" s="183"/>
      <c r="K632" s="184"/>
      <c r="L632" s="104" t="s">
        <v>16</v>
      </c>
      <c r="M632" s="6"/>
      <c r="N632" s="52"/>
      <c r="O632" s="46"/>
      <c r="Q632" s="139"/>
    </row>
    <row r="633" spans="1:17" s="2" customFormat="1" ht="25.15" hidden="1" customHeight="1" x14ac:dyDescent="0.25">
      <c r="A633" s="139"/>
      <c r="B633" s="107"/>
      <c r="C633" s="142">
        <v>50</v>
      </c>
      <c r="D633" s="173" t="s">
        <v>14</v>
      </c>
      <c r="E633" s="174"/>
      <c r="F633" s="174"/>
      <c r="G633" s="174"/>
      <c r="H633" s="174"/>
      <c r="I633" s="120"/>
      <c r="J633" s="175">
        <f>J631-J632</f>
        <v>0</v>
      </c>
      <c r="K633" s="172"/>
      <c r="L633" s="62"/>
      <c r="M633" s="6"/>
      <c r="N633" s="52"/>
      <c r="O633" s="46"/>
      <c r="Q633" s="139"/>
    </row>
    <row r="634" spans="1:17" ht="6" hidden="1" customHeight="1" thickBot="1" x14ac:dyDescent="0.3">
      <c r="B634" s="107"/>
      <c r="C634" s="66"/>
      <c r="D634" s="4"/>
      <c r="E634" s="4"/>
      <c r="F634" s="4"/>
      <c r="G634" s="4"/>
      <c r="H634" s="4"/>
      <c r="I634" s="4"/>
      <c r="J634" s="4"/>
      <c r="K634" s="4"/>
      <c r="L634" s="4"/>
      <c r="M634" s="4"/>
      <c r="N634" s="67"/>
      <c r="O634" s="45"/>
    </row>
    <row r="635" spans="1:17" s="2" customFormat="1" ht="27" hidden="1" customHeight="1" thickBot="1" x14ac:dyDescent="0.3">
      <c r="A635" s="139"/>
      <c r="B635" s="108"/>
      <c r="C635" s="84"/>
      <c r="D635" s="82" t="s">
        <v>10</v>
      </c>
      <c r="E635" s="176"/>
      <c r="F635" s="176"/>
      <c r="G635" s="176"/>
      <c r="H635" s="176"/>
      <c r="I635" s="176"/>
      <c r="J635" s="176"/>
      <c r="K635" s="176"/>
      <c r="L635" s="177"/>
      <c r="M635" s="24" t="s">
        <v>8</v>
      </c>
      <c r="N635" s="85"/>
      <c r="O635" s="46"/>
      <c r="Q635" s="139"/>
    </row>
    <row r="636" spans="1:17" s="2" customFormat="1" ht="28.15" hidden="1" customHeight="1" x14ac:dyDescent="0.25">
      <c r="A636" s="139"/>
      <c r="B636" s="107"/>
      <c r="C636" s="100" t="s">
        <v>11</v>
      </c>
      <c r="D636" s="93"/>
      <c r="E636" s="94"/>
      <c r="F636" s="94"/>
      <c r="G636" s="95"/>
      <c r="H636" s="96"/>
      <c r="I636" s="97"/>
      <c r="J636" s="97"/>
      <c r="K636" s="97"/>
      <c r="L636" s="101"/>
      <c r="M636" s="98"/>
      <c r="N636" s="99"/>
      <c r="O636" s="46"/>
      <c r="Q636" s="139"/>
    </row>
    <row r="637" spans="1:17" s="19" customFormat="1" ht="4.5" hidden="1" customHeight="1" x14ac:dyDescent="0.25">
      <c r="A637" s="139"/>
      <c r="B637" s="107"/>
      <c r="C637" s="179">
        <v>46</v>
      </c>
      <c r="D637" s="16"/>
      <c r="E637" s="16"/>
      <c r="F637" s="16"/>
      <c r="G637" s="16"/>
      <c r="H637" s="17"/>
      <c r="I637" s="20"/>
      <c r="J637" s="16"/>
      <c r="K637" s="17"/>
      <c r="L637" s="20"/>
      <c r="M637" s="18"/>
      <c r="N637" s="51"/>
      <c r="O637" s="47"/>
      <c r="Q637" s="139"/>
    </row>
    <row r="638" spans="1:17" s="2" customFormat="1" ht="25.15" hidden="1" customHeight="1" x14ac:dyDescent="0.25">
      <c r="A638" s="139"/>
      <c r="B638" s="107"/>
      <c r="C638" s="179"/>
      <c r="D638" s="170" t="s">
        <v>336</v>
      </c>
      <c r="E638" s="170"/>
      <c r="F638" s="170"/>
      <c r="G638" s="170"/>
      <c r="H638" s="170"/>
      <c r="I638" s="60"/>
      <c r="J638" s="183"/>
      <c r="K638" s="184"/>
      <c r="L638" s="60"/>
      <c r="M638" s="6"/>
      <c r="N638" s="52"/>
      <c r="O638" s="46"/>
      <c r="Q638" s="139"/>
    </row>
    <row r="639" spans="1:17" s="2" customFormat="1" ht="25.15" hidden="1" customHeight="1" x14ac:dyDescent="0.25">
      <c r="A639" s="139"/>
      <c r="B639" s="108"/>
      <c r="C639" s="79">
        <v>47</v>
      </c>
      <c r="D639" s="169" t="s">
        <v>337</v>
      </c>
      <c r="E639" s="170"/>
      <c r="F639" s="170"/>
      <c r="G639" s="170"/>
      <c r="H639" s="170"/>
      <c r="I639" s="61"/>
      <c r="J639" s="171">
        <f>-0.25*J638</f>
        <v>0</v>
      </c>
      <c r="K639" s="172"/>
      <c r="L639" s="62"/>
      <c r="M639" s="6"/>
      <c r="N639" s="52"/>
      <c r="O639" s="46"/>
      <c r="Q639" s="139"/>
    </row>
    <row r="640" spans="1:17" s="2" customFormat="1" ht="25.15" hidden="1" customHeight="1" x14ac:dyDescent="0.25">
      <c r="A640" s="139"/>
      <c r="B640" s="107"/>
      <c r="C640" s="79">
        <v>48</v>
      </c>
      <c r="D640" s="169" t="s">
        <v>338</v>
      </c>
      <c r="E640" s="170"/>
      <c r="F640" s="170"/>
      <c r="G640" s="170"/>
      <c r="H640" s="170"/>
      <c r="I640" s="61"/>
      <c r="J640" s="171">
        <f>J638+J639</f>
        <v>0</v>
      </c>
      <c r="K640" s="172"/>
      <c r="L640" s="62"/>
      <c r="M640" s="6"/>
      <c r="N640" s="52"/>
      <c r="O640" s="46"/>
      <c r="Q640" s="139"/>
    </row>
    <row r="641" spans="1:17" s="2" customFormat="1" ht="25.15" hidden="1" customHeight="1" x14ac:dyDescent="0.25">
      <c r="A641" s="139"/>
      <c r="B641" s="107"/>
      <c r="C641" s="142">
        <v>49</v>
      </c>
      <c r="D641" s="170" t="s">
        <v>340</v>
      </c>
      <c r="E641" s="170"/>
      <c r="F641" s="170"/>
      <c r="G641" s="170"/>
      <c r="H641" s="170"/>
      <c r="I641" s="119" t="s">
        <v>15</v>
      </c>
      <c r="J641" s="183"/>
      <c r="K641" s="184"/>
      <c r="L641" s="104" t="s">
        <v>16</v>
      </c>
      <c r="M641" s="6"/>
      <c r="N641" s="52"/>
      <c r="O641" s="46"/>
      <c r="Q641" s="139"/>
    </row>
    <row r="642" spans="1:17" s="2" customFormat="1" ht="25.15" hidden="1" customHeight="1" x14ac:dyDescent="0.25">
      <c r="A642" s="139"/>
      <c r="B642" s="107"/>
      <c r="C642" s="142">
        <v>50</v>
      </c>
      <c r="D642" s="173" t="s">
        <v>14</v>
      </c>
      <c r="E642" s="174"/>
      <c r="F642" s="174"/>
      <c r="G642" s="174"/>
      <c r="H642" s="174"/>
      <c r="I642" s="120"/>
      <c r="J642" s="175">
        <f>J640-J641</f>
        <v>0</v>
      </c>
      <c r="K642" s="172"/>
      <c r="L642" s="62"/>
      <c r="M642" s="6"/>
      <c r="N642" s="52"/>
      <c r="O642" s="46"/>
      <c r="Q642" s="139"/>
    </row>
    <row r="643" spans="1:17" ht="6" hidden="1" customHeight="1" thickBot="1" x14ac:dyDescent="0.3">
      <c r="B643" s="108"/>
      <c r="C643" s="66"/>
      <c r="D643" s="4"/>
      <c r="E643" s="4"/>
      <c r="F643" s="4"/>
      <c r="G643" s="4"/>
      <c r="H643" s="4"/>
      <c r="I643" s="4"/>
      <c r="J643" s="4"/>
      <c r="K643" s="4"/>
      <c r="L643" s="4"/>
      <c r="M643" s="4"/>
      <c r="N643" s="67"/>
      <c r="O643" s="45"/>
    </row>
    <row r="644" spans="1:17" s="2" customFormat="1" ht="27" hidden="1" customHeight="1" thickBot="1" x14ac:dyDescent="0.3">
      <c r="A644" s="139"/>
      <c r="B644" s="107"/>
      <c r="C644" s="84"/>
      <c r="D644" s="82" t="s">
        <v>10</v>
      </c>
      <c r="E644" s="176"/>
      <c r="F644" s="176"/>
      <c r="G644" s="176"/>
      <c r="H644" s="176"/>
      <c r="I644" s="176"/>
      <c r="J644" s="176"/>
      <c r="K644" s="176"/>
      <c r="L644" s="177"/>
      <c r="M644" s="24" t="s">
        <v>8</v>
      </c>
      <c r="N644" s="85"/>
      <c r="O644" s="46"/>
      <c r="Q644" s="139"/>
    </row>
    <row r="645" spans="1:17" s="2" customFormat="1" ht="28.15" hidden="1" customHeight="1" x14ac:dyDescent="0.25">
      <c r="A645" s="139"/>
      <c r="B645" s="107"/>
      <c r="C645" s="100" t="s">
        <v>11</v>
      </c>
      <c r="D645" s="93"/>
      <c r="E645" s="94"/>
      <c r="F645" s="94"/>
      <c r="G645" s="95"/>
      <c r="H645" s="96"/>
      <c r="I645" s="97"/>
      <c r="J645" s="97"/>
      <c r="K645" s="97"/>
      <c r="L645" s="101"/>
      <c r="M645" s="98"/>
      <c r="N645" s="99"/>
      <c r="O645" s="46"/>
      <c r="Q645" s="139"/>
    </row>
    <row r="646" spans="1:17" s="19" customFormat="1" ht="4.5" hidden="1" customHeight="1" x14ac:dyDescent="0.25">
      <c r="A646" s="139"/>
      <c r="B646" s="107"/>
      <c r="C646" s="179">
        <v>46</v>
      </c>
      <c r="D646" s="16"/>
      <c r="E646" s="16"/>
      <c r="F646" s="16"/>
      <c r="G646" s="16"/>
      <c r="H646" s="17"/>
      <c r="I646" s="20"/>
      <c r="J646" s="16"/>
      <c r="K646" s="17"/>
      <c r="L646" s="20"/>
      <c r="M646" s="18"/>
      <c r="N646" s="51"/>
      <c r="O646" s="47"/>
      <c r="Q646" s="139"/>
    </row>
    <row r="647" spans="1:17" s="2" customFormat="1" ht="25.15" hidden="1" customHeight="1" x14ac:dyDescent="0.25">
      <c r="A647" s="139"/>
      <c r="B647" s="108"/>
      <c r="C647" s="179"/>
      <c r="D647" s="170" t="s">
        <v>336</v>
      </c>
      <c r="E647" s="170"/>
      <c r="F647" s="170"/>
      <c r="G647" s="170"/>
      <c r="H647" s="170"/>
      <c r="I647" s="60"/>
      <c r="J647" s="183"/>
      <c r="K647" s="184"/>
      <c r="L647" s="60"/>
      <c r="M647" s="6"/>
      <c r="N647" s="52"/>
      <c r="O647" s="46"/>
      <c r="Q647" s="139"/>
    </row>
    <row r="648" spans="1:17" s="2" customFormat="1" ht="25.15" hidden="1" customHeight="1" x14ac:dyDescent="0.25">
      <c r="A648" s="139"/>
      <c r="B648" s="107"/>
      <c r="C648" s="79">
        <v>47</v>
      </c>
      <c r="D648" s="169" t="s">
        <v>337</v>
      </c>
      <c r="E648" s="170"/>
      <c r="F648" s="170"/>
      <c r="G648" s="170"/>
      <c r="H648" s="170"/>
      <c r="I648" s="61"/>
      <c r="J648" s="171">
        <f>-0.25*J647</f>
        <v>0</v>
      </c>
      <c r="K648" s="172"/>
      <c r="L648" s="62"/>
      <c r="M648" s="6"/>
      <c r="N648" s="52"/>
      <c r="O648" s="46"/>
      <c r="Q648" s="139"/>
    </row>
    <row r="649" spans="1:17" s="2" customFormat="1" ht="25.15" hidden="1" customHeight="1" x14ac:dyDescent="0.25">
      <c r="A649" s="139"/>
      <c r="B649" s="107"/>
      <c r="C649" s="79">
        <v>48</v>
      </c>
      <c r="D649" s="169" t="s">
        <v>338</v>
      </c>
      <c r="E649" s="170"/>
      <c r="F649" s="170"/>
      <c r="G649" s="170"/>
      <c r="H649" s="170"/>
      <c r="I649" s="61"/>
      <c r="J649" s="171">
        <f>J647+J648</f>
        <v>0</v>
      </c>
      <c r="K649" s="172"/>
      <c r="L649" s="62"/>
      <c r="M649" s="6"/>
      <c r="N649" s="52"/>
      <c r="O649" s="46"/>
      <c r="Q649" s="139"/>
    </row>
    <row r="650" spans="1:17" s="2" customFormat="1" ht="25.15" hidden="1" customHeight="1" x14ac:dyDescent="0.25">
      <c r="A650" s="139"/>
      <c r="B650" s="107"/>
      <c r="C650" s="142">
        <v>49</v>
      </c>
      <c r="D650" s="170" t="s">
        <v>340</v>
      </c>
      <c r="E650" s="170"/>
      <c r="F650" s="170"/>
      <c r="G650" s="170"/>
      <c r="H650" s="170"/>
      <c r="I650" s="119" t="s">
        <v>15</v>
      </c>
      <c r="J650" s="183"/>
      <c r="K650" s="184"/>
      <c r="L650" s="104" t="s">
        <v>16</v>
      </c>
      <c r="M650" s="6"/>
      <c r="N650" s="52"/>
      <c r="O650" s="46"/>
      <c r="Q650" s="139"/>
    </row>
    <row r="651" spans="1:17" s="2" customFormat="1" ht="25.15" hidden="1" customHeight="1" x14ac:dyDescent="0.25">
      <c r="A651" s="139"/>
      <c r="B651" s="108"/>
      <c r="C651" s="142">
        <v>50</v>
      </c>
      <c r="D651" s="173" t="s">
        <v>14</v>
      </c>
      <c r="E651" s="174"/>
      <c r="F651" s="174"/>
      <c r="G651" s="174"/>
      <c r="H651" s="174"/>
      <c r="I651" s="120"/>
      <c r="J651" s="175">
        <f>J649-J650</f>
        <v>0</v>
      </c>
      <c r="K651" s="172"/>
      <c r="L651" s="62"/>
      <c r="M651" s="6"/>
      <c r="N651" s="52"/>
      <c r="O651" s="46"/>
      <c r="Q651" s="139"/>
    </row>
    <row r="652" spans="1:17" ht="6" hidden="1" customHeight="1" thickBot="1" x14ac:dyDescent="0.3">
      <c r="B652" s="107"/>
      <c r="C652" s="66"/>
      <c r="D652" s="4"/>
      <c r="E652" s="4"/>
      <c r="F652" s="4"/>
      <c r="G652" s="4"/>
      <c r="H652" s="4"/>
      <c r="I652" s="4"/>
      <c r="J652" s="4"/>
      <c r="K652" s="4"/>
      <c r="L652" s="4"/>
      <c r="M652" s="4"/>
      <c r="N652" s="67"/>
      <c r="O652" s="45"/>
    </row>
    <row r="653" spans="1:17" s="2" customFormat="1" ht="27" hidden="1" customHeight="1" thickBot="1" x14ac:dyDescent="0.3">
      <c r="A653" s="139"/>
      <c r="B653" s="107"/>
      <c r="C653" s="84"/>
      <c r="D653" s="82" t="s">
        <v>10</v>
      </c>
      <c r="E653" s="176"/>
      <c r="F653" s="176"/>
      <c r="G653" s="176"/>
      <c r="H653" s="176"/>
      <c r="I653" s="176"/>
      <c r="J653" s="176"/>
      <c r="K653" s="176"/>
      <c r="L653" s="177"/>
      <c r="M653" s="24" t="s">
        <v>8</v>
      </c>
      <c r="N653" s="85"/>
      <c r="O653" s="46"/>
      <c r="Q653" s="139"/>
    </row>
    <row r="654" spans="1:17" s="2" customFormat="1" ht="28.15" hidden="1" customHeight="1" x14ac:dyDescent="0.25">
      <c r="A654" s="139"/>
      <c r="B654" s="107"/>
      <c r="C654" s="100" t="s">
        <v>11</v>
      </c>
      <c r="D654" s="93"/>
      <c r="E654" s="94"/>
      <c r="F654" s="94"/>
      <c r="G654" s="95"/>
      <c r="H654" s="96"/>
      <c r="I654" s="97"/>
      <c r="J654" s="97"/>
      <c r="K654" s="97"/>
      <c r="L654" s="101"/>
      <c r="M654" s="98"/>
      <c r="N654" s="99"/>
      <c r="O654" s="46"/>
      <c r="Q654" s="139"/>
    </row>
    <row r="655" spans="1:17" s="19" customFormat="1" ht="4.5" hidden="1" customHeight="1" x14ac:dyDescent="0.25">
      <c r="A655" s="139"/>
      <c r="B655" s="108"/>
      <c r="C655" s="179">
        <v>46</v>
      </c>
      <c r="D655" s="16"/>
      <c r="E655" s="16"/>
      <c r="F655" s="16"/>
      <c r="G655" s="16"/>
      <c r="H655" s="17"/>
      <c r="I655" s="20"/>
      <c r="J655" s="16"/>
      <c r="K655" s="17"/>
      <c r="L655" s="20"/>
      <c r="M655" s="18"/>
      <c r="N655" s="51"/>
      <c r="O655" s="47"/>
      <c r="Q655" s="139"/>
    </row>
    <row r="656" spans="1:17" s="2" customFormat="1" ht="25.15" hidden="1" customHeight="1" x14ac:dyDescent="0.25">
      <c r="A656" s="139"/>
      <c r="B656" s="107"/>
      <c r="C656" s="179"/>
      <c r="D656" s="170" t="s">
        <v>336</v>
      </c>
      <c r="E656" s="170"/>
      <c r="F656" s="170"/>
      <c r="G656" s="170"/>
      <c r="H656" s="170"/>
      <c r="I656" s="60"/>
      <c r="J656" s="183"/>
      <c r="K656" s="184"/>
      <c r="L656" s="60"/>
      <c r="M656" s="6"/>
      <c r="N656" s="52"/>
      <c r="O656" s="46"/>
      <c r="Q656" s="139"/>
    </row>
    <row r="657" spans="1:17" s="2" customFormat="1" ht="25.15" hidden="1" customHeight="1" x14ac:dyDescent="0.25">
      <c r="A657" s="139"/>
      <c r="B657" s="107"/>
      <c r="C657" s="79">
        <v>47</v>
      </c>
      <c r="D657" s="169" t="s">
        <v>337</v>
      </c>
      <c r="E657" s="170"/>
      <c r="F657" s="170"/>
      <c r="G657" s="170"/>
      <c r="H657" s="170"/>
      <c r="I657" s="61"/>
      <c r="J657" s="171">
        <f>-0.25*J656</f>
        <v>0</v>
      </c>
      <c r="K657" s="172"/>
      <c r="L657" s="62"/>
      <c r="M657" s="6"/>
      <c r="N657" s="52"/>
      <c r="O657" s="46"/>
      <c r="Q657" s="139"/>
    </row>
    <row r="658" spans="1:17" s="2" customFormat="1" ht="25.15" hidden="1" customHeight="1" x14ac:dyDescent="0.25">
      <c r="A658" s="139"/>
      <c r="B658" s="107"/>
      <c r="C658" s="79">
        <v>48</v>
      </c>
      <c r="D658" s="169" t="s">
        <v>338</v>
      </c>
      <c r="E658" s="170"/>
      <c r="F658" s="170"/>
      <c r="G658" s="170"/>
      <c r="H658" s="170"/>
      <c r="I658" s="61"/>
      <c r="J658" s="171">
        <f>J656+J657</f>
        <v>0</v>
      </c>
      <c r="K658" s="172"/>
      <c r="L658" s="62"/>
      <c r="M658" s="6"/>
      <c r="N658" s="52"/>
      <c r="O658" s="46"/>
      <c r="Q658" s="139"/>
    </row>
    <row r="659" spans="1:17" s="2" customFormat="1" ht="25.15" hidden="1" customHeight="1" x14ac:dyDescent="0.25">
      <c r="A659" s="139"/>
      <c r="B659" s="108"/>
      <c r="C659" s="142">
        <v>49</v>
      </c>
      <c r="D659" s="170" t="s">
        <v>340</v>
      </c>
      <c r="E659" s="170"/>
      <c r="F659" s="170"/>
      <c r="G659" s="170"/>
      <c r="H659" s="170"/>
      <c r="I659" s="119" t="s">
        <v>15</v>
      </c>
      <c r="J659" s="183"/>
      <c r="K659" s="184"/>
      <c r="L659" s="104" t="s">
        <v>16</v>
      </c>
      <c r="M659" s="6"/>
      <c r="N659" s="52"/>
      <c r="O659" s="46"/>
      <c r="Q659" s="139"/>
    </row>
    <row r="660" spans="1:17" s="2" customFormat="1" ht="25.15" hidden="1" customHeight="1" x14ac:dyDescent="0.25">
      <c r="A660" s="139"/>
      <c r="B660" s="107"/>
      <c r="C660" s="142">
        <v>50</v>
      </c>
      <c r="D660" s="173" t="s">
        <v>14</v>
      </c>
      <c r="E660" s="174"/>
      <c r="F660" s="174"/>
      <c r="G660" s="174"/>
      <c r="H660" s="174"/>
      <c r="I660" s="120"/>
      <c r="J660" s="175">
        <f>J658-J659</f>
        <v>0</v>
      </c>
      <c r="K660" s="172"/>
      <c r="L660" s="62"/>
      <c r="M660" s="6"/>
      <c r="N660" s="52"/>
      <c r="O660" s="46"/>
      <c r="Q660" s="139"/>
    </row>
    <row r="661" spans="1:17" ht="6" hidden="1" customHeight="1" thickBot="1" x14ac:dyDescent="0.3">
      <c r="B661" s="107"/>
      <c r="C661" s="66"/>
      <c r="D661" s="4"/>
      <c r="E661" s="4"/>
      <c r="F661" s="4"/>
      <c r="G661" s="4"/>
      <c r="H661" s="4"/>
      <c r="I661" s="4"/>
      <c r="J661" s="4"/>
      <c r="K661" s="4"/>
      <c r="L661" s="4"/>
      <c r="M661" s="4"/>
      <c r="N661" s="67"/>
      <c r="O661" s="45"/>
    </row>
    <row r="662" spans="1:17" s="2" customFormat="1" ht="27" hidden="1" customHeight="1" thickBot="1" x14ac:dyDescent="0.3">
      <c r="A662" s="139"/>
      <c r="B662" s="107"/>
      <c r="C662" s="84"/>
      <c r="D662" s="82" t="s">
        <v>10</v>
      </c>
      <c r="E662" s="176"/>
      <c r="F662" s="176"/>
      <c r="G662" s="176"/>
      <c r="H662" s="176"/>
      <c r="I662" s="176"/>
      <c r="J662" s="176"/>
      <c r="K662" s="176"/>
      <c r="L662" s="177"/>
      <c r="M662" s="24" t="s">
        <v>8</v>
      </c>
      <c r="N662" s="85"/>
      <c r="O662" s="46"/>
      <c r="Q662" s="139"/>
    </row>
    <row r="663" spans="1:17" s="2" customFormat="1" ht="28.15" hidden="1" customHeight="1" x14ac:dyDescent="0.25">
      <c r="A663" s="139"/>
      <c r="B663" s="108"/>
      <c r="C663" s="100" t="s">
        <v>11</v>
      </c>
      <c r="D663" s="93"/>
      <c r="E663" s="94"/>
      <c r="F663" s="94"/>
      <c r="G663" s="95"/>
      <c r="H663" s="96"/>
      <c r="I663" s="97"/>
      <c r="J663" s="97"/>
      <c r="K663" s="97"/>
      <c r="L663" s="101"/>
      <c r="M663" s="98"/>
      <c r="N663" s="99"/>
      <c r="O663" s="46"/>
      <c r="Q663" s="139"/>
    </row>
    <row r="664" spans="1:17" s="19" customFormat="1" ht="4.5" hidden="1" customHeight="1" x14ac:dyDescent="0.25">
      <c r="A664" s="139"/>
      <c r="B664" s="107"/>
      <c r="C664" s="179">
        <v>46</v>
      </c>
      <c r="D664" s="16"/>
      <c r="E664" s="16"/>
      <c r="F664" s="16"/>
      <c r="G664" s="16"/>
      <c r="H664" s="17"/>
      <c r="I664" s="20"/>
      <c r="J664" s="16"/>
      <c r="K664" s="17"/>
      <c r="L664" s="20"/>
      <c r="M664" s="18"/>
      <c r="N664" s="51"/>
      <c r="O664" s="47"/>
      <c r="Q664" s="139"/>
    </row>
    <row r="665" spans="1:17" s="2" customFormat="1" ht="25.15" hidden="1" customHeight="1" x14ac:dyDescent="0.25">
      <c r="A665" s="139"/>
      <c r="B665" s="107"/>
      <c r="C665" s="179"/>
      <c r="D665" s="170" t="s">
        <v>336</v>
      </c>
      <c r="E665" s="170"/>
      <c r="F665" s="170"/>
      <c r="G665" s="170"/>
      <c r="H665" s="170"/>
      <c r="I665" s="60"/>
      <c r="J665" s="183"/>
      <c r="K665" s="184"/>
      <c r="L665" s="60"/>
      <c r="M665" s="6"/>
      <c r="N665" s="52"/>
      <c r="O665" s="46"/>
      <c r="Q665" s="139"/>
    </row>
    <row r="666" spans="1:17" s="2" customFormat="1" ht="25.15" hidden="1" customHeight="1" x14ac:dyDescent="0.25">
      <c r="A666" s="139"/>
      <c r="B666" s="107"/>
      <c r="C666" s="79">
        <v>47</v>
      </c>
      <c r="D666" s="169" t="s">
        <v>337</v>
      </c>
      <c r="E666" s="170"/>
      <c r="F666" s="170"/>
      <c r="G666" s="170"/>
      <c r="H666" s="170"/>
      <c r="I666" s="61"/>
      <c r="J666" s="171">
        <f>-0.25*J665</f>
        <v>0</v>
      </c>
      <c r="K666" s="172"/>
      <c r="L666" s="62"/>
      <c r="M666" s="6"/>
      <c r="N666" s="52"/>
      <c r="O666" s="46"/>
      <c r="Q666" s="139"/>
    </row>
    <row r="667" spans="1:17" s="2" customFormat="1" ht="25.15" hidden="1" customHeight="1" x14ac:dyDescent="0.25">
      <c r="A667" s="139"/>
      <c r="B667" s="108"/>
      <c r="C667" s="79">
        <v>48</v>
      </c>
      <c r="D667" s="169" t="s">
        <v>338</v>
      </c>
      <c r="E667" s="170"/>
      <c r="F667" s="170"/>
      <c r="G667" s="170"/>
      <c r="H667" s="170"/>
      <c r="I667" s="61"/>
      <c r="J667" s="171">
        <f>J665+J666</f>
        <v>0</v>
      </c>
      <c r="K667" s="172"/>
      <c r="L667" s="62"/>
      <c r="M667" s="6"/>
      <c r="N667" s="52"/>
      <c r="O667" s="46"/>
      <c r="Q667" s="139"/>
    </row>
    <row r="668" spans="1:17" s="2" customFormat="1" ht="25.15" hidden="1" customHeight="1" x14ac:dyDescent="0.25">
      <c r="A668" s="139"/>
      <c r="B668" s="107"/>
      <c r="C668" s="142">
        <v>49</v>
      </c>
      <c r="D668" s="170" t="s">
        <v>340</v>
      </c>
      <c r="E668" s="170"/>
      <c r="F668" s="170"/>
      <c r="G668" s="170"/>
      <c r="H668" s="170"/>
      <c r="I668" s="119" t="s">
        <v>15</v>
      </c>
      <c r="J668" s="183"/>
      <c r="K668" s="184"/>
      <c r="L668" s="104" t="s">
        <v>16</v>
      </c>
      <c r="M668" s="6"/>
      <c r="N668" s="52"/>
      <c r="O668" s="46"/>
      <c r="Q668" s="139"/>
    </row>
    <row r="669" spans="1:17" s="2" customFormat="1" ht="25.15" hidden="1" customHeight="1" x14ac:dyDescent="0.25">
      <c r="A669" s="139"/>
      <c r="B669" s="107"/>
      <c r="C669" s="142">
        <v>50</v>
      </c>
      <c r="D669" s="173" t="s">
        <v>14</v>
      </c>
      <c r="E669" s="174"/>
      <c r="F669" s="174"/>
      <c r="G669" s="174"/>
      <c r="H669" s="174"/>
      <c r="I669" s="120"/>
      <c r="J669" s="175">
        <f>J667-J668</f>
        <v>0</v>
      </c>
      <c r="K669" s="172"/>
      <c r="L669" s="62"/>
      <c r="M669" s="6"/>
      <c r="N669" s="52"/>
      <c r="O669" s="46"/>
      <c r="Q669" s="139"/>
    </row>
    <row r="670" spans="1:17" ht="6" hidden="1" customHeight="1" thickBot="1" x14ac:dyDescent="0.3">
      <c r="B670" s="107"/>
      <c r="C670" s="66"/>
      <c r="D670" s="4"/>
      <c r="E670" s="4"/>
      <c r="F670" s="4"/>
      <c r="G670" s="4"/>
      <c r="H670" s="4"/>
      <c r="I670" s="4"/>
      <c r="J670" s="4"/>
      <c r="K670" s="4"/>
      <c r="L670" s="4"/>
      <c r="M670" s="4"/>
      <c r="N670" s="67"/>
      <c r="O670" s="45"/>
    </row>
    <row r="671" spans="1:17" s="2" customFormat="1" ht="27" hidden="1" customHeight="1" thickBot="1" x14ac:dyDescent="0.3">
      <c r="A671" s="139"/>
      <c r="B671" s="108"/>
      <c r="C671" s="84"/>
      <c r="D671" s="82" t="s">
        <v>10</v>
      </c>
      <c r="E671" s="176"/>
      <c r="F671" s="176"/>
      <c r="G671" s="176"/>
      <c r="H671" s="176"/>
      <c r="I671" s="176"/>
      <c r="J671" s="176"/>
      <c r="K671" s="176"/>
      <c r="L671" s="177"/>
      <c r="M671" s="24" t="s">
        <v>8</v>
      </c>
      <c r="N671" s="85"/>
      <c r="O671" s="46"/>
      <c r="Q671" s="139"/>
    </row>
    <row r="672" spans="1:17" s="2" customFormat="1" ht="28.15" hidden="1" customHeight="1" x14ac:dyDescent="0.25">
      <c r="A672" s="139"/>
      <c r="B672" s="107"/>
      <c r="C672" s="100" t="s">
        <v>11</v>
      </c>
      <c r="D672" s="93"/>
      <c r="E672" s="94"/>
      <c r="F672" s="94"/>
      <c r="G672" s="95"/>
      <c r="H672" s="96"/>
      <c r="I672" s="97"/>
      <c r="J672" s="97"/>
      <c r="K672" s="97"/>
      <c r="L672" s="101"/>
      <c r="M672" s="98"/>
      <c r="N672" s="99"/>
      <c r="O672" s="46"/>
      <c r="Q672" s="139"/>
    </row>
    <row r="673" spans="1:17" s="19" customFormat="1" ht="4.5" hidden="1" customHeight="1" x14ac:dyDescent="0.25">
      <c r="A673" s="139"/>
      <c r="B673" s="107"/>
      <c r="C673" s="179">
        <v>46</v>
      </c>
      <c r="D673" s="16"/>
      <c r="E673" s="16"/>
      <c r="F673" s="16"/>
      <c r="G673" s="16"/>
      <c r="H673" s="17"/>
      <c r="I673" s="20"/>
      <c r="J673" s="16"/>
      <c r="K673" s="17"/>
      <c r="L673" s="20"/>
      <c r="M673" s="18"/>
      <c r="N673" s="51"/>
      <c r="O673" s="47"/>
      <c r="Q673" s="139"/>
    </row>
    <row r="674" spans="1:17" s="2" customFormat="1" ht="25.15" hidden="1" customHeight="1" x14ac:dyDescent="0.25">
      <c r="A674" s="139"/>
      <c r="B674" s="107"/>
      <c r="C674" s="179"/>
      <c r="D674" s="170" t="s">
        <v>336</v>
      </c>
      <c r="E674" s="170"/>
      <c r="F674" s="170"/>
      <c r="G674" s="170"/>
      <c r="H674" s="170"/>
      <c r="I674" s="60"/>
      <c r="J674" s="183"/>
      <c r="K674" s="184"/>
      <c r="L674" s="60"/>
      <c r="M674" s="6"/>
      <c r="N674" s="52"/>
      <c r="O674" s="46"/>
      <c r="Q674" s="139"/>
    </row>
    <row r="675" spans="1:17" s="2" customFormat="1" ht="25.15" hidden="1" customHeight="1" x14ac:dyDescent="0.25">
      <c r="A675" s="139"/>
      <c r="B675" s="108"/>
      <c r="C675" s="79">
        <v>47</v>
      </c>
      <c r="D675" s="169" t="s">
        <v>337</v>
      </c>
      <c r="E675" s="170"/>
      <c r="F675" s="170"/>
      <c r="G675" s="170"/>
      <c r="H675" s="170"/>
      <c r="I675" s="61"/>
      <c r="J675" s="171">
        <f>-0.25*J674</f>
        <v>0</v>
      </c>
      <c r="K675" s="172"/>
      <c r="L675" s="62"/>
      <c r="M675" s="6"/>
      <c r="N675" s="52"/>
      <c r="O675" s="46"/>
      <c r="Q675" s="139"/>
    </row>
    <row r="676" spans="1:17" s="2" customFormat="1" ht="25.15" hidden="1" customHeight="1" x14ac:dyDescent="0.25">
      <c r="A676" s="139"/>
      <c r="B676" s="107"/>
      <c r="C676" s="79">
        <v>48</v>
      </c>
      <c r="D676" s="169" t="s">
        <v>338</v>
      </c>
      <c r="E676" s="170"/>
      <c r="F676" s="170"/>
      <c r="G676" s="170"/>
      <c r="H676" s="170"/>
      <c r="I676" s="61"/>
      <c r="J676" s="171">
        <f>J674+J675</f>
        <v>0</v>
      </c>
      <c r="K676" s="172"/>
      <c r="L676" s="62"/>
      <c r="M676" s="6"/>
      <c r="N676" s="52"/>
      <c r="O676" s="46"/>
      <c r="Q676" s="139"/>
    </row>
    <row r="677" spans="1:17" s="2" customFormat="1" ht="25.15" hidden="1" customHeight="1" x14ac:dyDescent="0.25">
      <c r="A677" s="139"/>
      <c r="B677" s="107"/>
      <c r="C677" s="142">
        <v>49</v>
      </c>
      <c r="D677" s="170" t="s">
        <v>340</v>
      </c>
      <c r="E677" s="170"/>
      <c r="F677" s="170"/>
      <c r="G677" s="170"/>
      <c r="H677" s="170"/>
      <c r="I677" s="119" t="s">
        <v>15</v>
      </c>
      <c r="J677" s="183"/>
      <c r="K677" s="184"/>
      <c r="L677" s="104" t="s">
        <v>16</v>
      </c>
      <c r="M677" s="6"/>
      <c r="N677" s="52"/>
      <c r="O677" s="46"/>
      <c r="Q677" s="139"/>
    </row>
    <row r="678" spans="1:17" s="2" customFormat="1" ht="25.15" hidden="1" customHeight="1" x14ac:dyDescent="0.25">
      <c r="A678" s="139"/>
      <c r="B678" s="107"/>
      <c r="C678" s="142">
        <v>50</v>
      </c>
      <c r="D678" s="173" t="s">
        <v>14</v>
      </c>
      <c r="E678" s="174"/>
      <c r="F678" s="174"/>
      <c r="G678" s="174"/>
      <c r="H678" s="174"/>
      <c r="I678" s="120"/>
      <c r="J678" s="175">
        <f>J676-J677</f>
        <v>0</v>
      </c>
      <c r="K678" s="172"/>
      <c r="L678" s="62"/>
      <c r="M678" s="6"/>
      <c r="N678" s="52"/>
      <c r="O678" s="46"/>
      <c r="Q678" s="139"/>
    </row>
    <row r="679" spans="1:17" ht="6" hidden="1" customHeight="1" thickBot="1" x14ac:dyDescent="0.3">
      <c r="B679" s="108"/>
      <c r="C679" s="66"/>
      <c r="D679" s="4"/>
      <c r="E679" s="4"/>
      <c r="F679" s="4"/>
      <c r="G679" s="4"/>
      <c r="H679" s="4"/>
      <c r="I679" s="4"/>
      <c r="J679" s="4"/>
      <c r="K679" s="4"/>
      <c r="L679" s="4"/>
      <c r="M679" s="4"/>
      <c r="N679" s="67"/>
      <c r="O679" s="45"/>
    </row>
    <row r="680" spans="1:17" s="2" customFormat="1" ht="27" hidden="1" customHeight="1" thickBot="1" x14ac:dyDescent="0.3">
      <c r="A680" s="139"/>
      <c r="B680" s="107"/>
      <c r="C680" s="84"/>
      <c r="D680" s="82" t="s">
        <v>10</v>
      </c>
      <c r="E680" s="176"/>
      <c r="F680" s="176"/>
      <c r="G680" s="176"/>
      <c r="H680" s="176"/>
      <c r="I680" s="176"/>
      <c r="J680" s="176"/>
      <c r="K680" s="176"/>
      <c r="L680" s="177"/>
      <c r="M680" s="24" t="s">
        <v>8</v>
      </c>
      <c r="N680" s="85"/>
      <c r="O680" s="46"/>
      <c r="Q680" s="139"/>
    </row>
    <row r="681" spans="1:17" s="2" customFormat="1" ht="28.15" hidden="1" customHeight="1" x14ac:dyDescent="0.25">
      <c r="A681" s="139"/>
      <c r="B681" s="107"/>
      <c r="C681" s="100" t="s">
        <v>11</v>
      </c>
      <c r="D681" s="93"/>
      <c r="E681" s="94"/>
      <c r="F681" s="94"/>
      <c r="G681" s="95"/>
      <c r="H681" s="96"/>
      <c r="I681" s="97"/>
      <c r="J681" s="97"/>
      <c r="K681" s="97"/>
      <c r="L681" s="101"/>
      <c r="M681" s="98"/>
      <c r="N681" s="99"/>
      <c r="O681" s="46"/>
      <c r="Q681" s="139"/>
    </row>
    <row r="682" spans="1:17" s="19" customFormat="1" ht="4.5" hidden="1" customHeight="1" x14ac:dyDescent="0.25">
      <c r="A682" s="139"/>
      <c r="B682" s="107"/>
      <c r="C682" s="179">
        <v>46</v>
      </c>
      <c r="D682" s="16"/>
      <c r="E682" s="16"/>
      <c r="F682" s="16"/>
      <c r="G682" s="16"/>
      <c r="H682" s="17"/>
      <c r="I682" s="20"/>
      <c r="J682" s="16"/>
      <c r="K682" s="17"/>
      <c r="L682" s="20"/>
      <c r="M682" s="18"/>
      <c r="N682" s="51"/>
      <c r="O682" s="47"/>
      <c r="Q682" s="139"/>
    </row>
    <row r="683" spans="1:17" s="2" customFormat="1" ht="25.15" hidden="1" customHeight="1" x14ac:dyDescent="0.25">
      <c r="A683" s="139"/>
      <c r="B683" s="108"/>
      <c r="C683" s="179"/>
      <c r="D683" s="170" t="s">
        <v>336</v>
      </c>
      <c r="E683" s="170"/>
      <c r="F683" s="170"/>
      <c r="G683" s="170"/>
      <c r="H683" s="170"/>
      <c r="I683" s="60"/>
      <c r="J683" s="183"/>
      <c r="K683" s="184"/>
      <c r="L683" s="60"/>
      <c r="M683" s="6"/>
      <c r="N683" s="52"/>
      <c r="O683" s="46"/>
      <c r="Q683" s="139"/>
    </row>
    <row r="684" spans="1:17" s="2" customFormat="1" ht="25.15" hidden="1" customHeight="1" x14ac:dyDescent="0.25">
      <c r="A684" s="139"/>
      <c r="B684" s="107"/>
      <c r="C684" s="79">
        <v>47</v>
      </c>
      <c r="D684" s="169" t="s">
        <v>337</v>
      </c>
      <c r="E684" s="170"/>
      <c r="F684" s="170"/>
      <c r="G684" s="170"/>
      <c r="H684" s="170"/>
      <c r="I684" s="61"/>
      <c r="J684" s="171">
        <f>-0.25*J683</f>
        <v>0</v>
      </c>
      <c r="K684" s="172"/>
      <c r="L684" s="62"/>
      <c r="M684" s="6"/>
      <c r="N684" s="52"/>
      <c r="O684" s="46"/>
      <c r="Q684" s="139"/>
    </row>
    <row r="685" spans="1:17" s="2" customFormat="1" ht="25.15" hidden="1" customHeight="1" x14ac:dyDescent="0.25">
      <c r="A685" s="139"/>
      <c r="B685" s="107"/>
      <c r="C685" s="79">
        <v>48</v>
      </c>
      <c r="D685" s="169" t="s">
        <v>338</v>
      </c>
      <c r="E685" s="170"/>
      <c r="F685" s="170"/>
      <c r="G685" s="170"/>
      <c r="H685" s="170"/>
      <c r="I685" s="61"/>
      <c r="J685" s="171">
        <f>J683+J684</f>
        <v>0</v>
      </c>
      <c r="K685" s="172"/>
      <c r="L685" s="62"/>
      <c r="M685" s="6"/>
      <c r="N685" s="52"/>
      <c r="O685" s="46"/>
      <c r="Q685" s="139"/>
    </row>
    <row r="686" spans="1:17" s="2" customFormat="1" ht="25.15" hidden="1" customHeight="1" x14ac:dyDescent="0.25">
      <c r="A686" s="139"/>
      <c r="B686" s="107"/>
      <c r="C686" s="142">
        <v>49</v>
      </c>
      <c r="D686" s="170" t="s">
        <v>340</v>
      </c>
      <c r="E686" s="170"/>
      <c r="F686" s="170"/>
      <c r="G686" s="170"/>
      <c r="H686" s="170"/>
      <c r="I686" s="119" t="s">
        <v>15</v>
      </c>
      <c r="J686" s="183"/>
      <c r="K686" s="184"/>
      <c r="L686" s="104" t="s">
        <v>16</v>
      </c>
      <c r="M686" s="6"/>
      <c r="N686" s="52"/>
      <c r="O686" s="46"/>
      <c r="Q686" s="139"/>
    </row>
    <row r="687" spans="1:17" s="2" customFormat="1" ht="25.15" hidden="1" customHeight="1" x14ac:dyDescent="0.25">
      <c r="A687" s="139"/>
      <c r="B687" s="108"/>
      <c r="C687" s="142">
        <v>50</v>
      </c>
      <c r="D687" s="173" t="s">
        <v>14</v>
      </c>
      <c r="E687" s="174"/>
      <c r="F687" s="174"/>
      <c r="G687" s="174"/>
      <c r="H687" s="174"/>
      <c r="I687" s="120"/>
      <c r="J687" s="175">
        <f>J685-J686</f>
        <v>0</v>
      </c>
      <c r="K687" s="172"/>
      <c r="L687" s="62"/>
      <c r="M687" s="6"/>
      <c r="N687" s="52"/>
      <c r="O687" s="46"/>
      <c r="Q687" s="139"/>
    </row>
    <row r="688" spans="1:17" ht="6" hidden="1" customHeight="1" thickBot="1" x14ac:dyDescent="0.3">
      <c r="B688" s="107"/>
      <c r="C688" s="66"/>
      <c r="D688" s="4"/>
      <c r="E688" s="4"/>
      <c r="F688" s="4"/>
      <c r="G688" s="4"/>
      <c r="H688" s="4"/>
      <c r="I688" s="4"/>
      <c r="J688" s="4"/>
      <c r="K688" s="4"/>
      <c r="L688" s="4"/>
      <c r="M688" s="4"/>
      <c r="N688" s="67"/>
      <c r="O688" s="45"/>
    </row>
    <row r="689" spans="1:17" s="2" customFormat="1" ht="27" hidden="1" customHeight="1" thickBot="1" x14ac:dyDescent="0.3">
      <c r="A689" s="139"/>
      <c r="B689" s="107"/>
      <c r="C689" s="84"/>
      <c r="D689" s="82" t="s">
        <v>10</v>
      </c>
      <c r="E689" s="176"/>
      <c r="F689" s="176"/>
      <c r="G689" s="176"/>
      <c r="H689" s="176"/>
      <c r="I689" s="176"/>
      <c r="J689" s="176"/>
      <c r="K689" s="176"/>
      <c r="L689" s="177"/>
      <c r="M689" s="24" t="s">
        <v>8</v>
      </c>
      <c r="N689" s="85"/>
      <c r="O689" s="46"/>
      <c r="Q689" s="139"/>
    </row>
    <row r="690" spans="1:17" s="2" customFormat="1" ht="28.15" hidden="1" customHeight="1" x14ac:dyDescent="0.25">
      <c r="A690" s="139"/>
      <c r="B690" s="107"/>
      <c r="C690" s="100" t="s">
        <v>11</v>
      </c>
      <c r="D690" s="93"/>
      <c r="E690" s="94"/>
      <c r="F690" s="94"/>
      <c r="G690" s="95"/>
      <c r="H690" s="96"/>
      <c r="I690" s="97"/>
      <c r="J690" s="97"/>
      <c r="K690" s="97"/>
      <c r="L690" s="101"/>
      <c r="M690" s="98"/>
      <c r="N690" s="99"/>
      <c r="O690" s="46"/>
      <c r="Q690" s="139"/>
    </row>
    <row r="691" spans="1:17" s="19" customFormat="1" ht="4.5" hidden="1" customHeight="1" x14ac:dyDescent="0.25">
      <c r="A691" s="139"/>
      <c r="B691" s="108"/>
      <c r="C691" s="179">
        <v>46</v>
      </c>
      <c r="D691" s="16"/>
      <c r="E691" s="16"/>
      <c r="F691" s="16"/>
      <c r="G691" s="16"/>
      <c r="H691" s="17"/>
      <c r="I691" s="20"/>
      <c r="J691" s="16"/>
      <c r="K691" s="17"/>
      <c r="L691" s="20"/>
      <c r="M691" s="18"/>
      <c r="N691" s="51"/>
      <c r="O691" s="47"/>
      <c r="Q691" s="139"/>
    </row>
    <row r="692" spans="1:17" s="2" customFormat="1" ht="25.15" hidden="1" customHeight="1" x14ac:dyDescent="0.25">
      <c r="A692" s="139"/>
      <c r="B692" s="107"/>
      <c r="C692" s="179"/>
      <c r="D692" s="170" t="s">
        <v>336</v>
      </c>
      <c r="E692" s="170"/>
      <c r="F692" s="170"/>
      <c r="G692" s="170"/>
      <c r="H692" s="170"/>
      <c r="I692" s="60"/>
      <c r="J692" s="183"/>
      <c r="K692" s="184"/>
      <c r="L692" s="60"/>
      <c r="M692" s="6"/>
      <c r="N692" s="52"/>
      <c r="O692" s="46"/>
      <c r="Q692" s="139"/>
    </row>
    <row r="693" spans="1:17" s="2" customFormat="1" ht="25.15" hidden="1" customHeight="1" x14ac:dyDescent="0.25">
      <c r="A693" s="139"/>
      <c r="B693" s="107"/>
      <c r="C693" s="79">
        <v>47</v>
      </c>
      <c r="D693" s="169" t="s">
        <v>337</v>
      </c>
      <c r="E693" s="170"/>
      <c r="F693" s="170"/>
      <c r="G693" s="170"/>
      <c r="H693" s="170"/>
      <c r="I693" s="61"/>
      <c r="J693" s="171">
        <f>-0.25*J692</f>
        <v>0</v>
      </c>
      <c r="K693" s="172"/>
      <c r="L693" s="62"/>
      <c r="M693" s="6"/>
      <c r="N693" s="52"/>
      <c r="O693" s="46"/>
      <c r="Q693" s="139"/>
    </row>
    <row r="694" spans="1:17" s="2" customFormat="1" ht="25.15" hidden="1" customHeight="1" x14ac:dyDescent="0.25">
      <c r="A694" s="139"/>
      <c r="B694" s="107"/>
      <c r="C694" s="79">
        <v>48</v>
      </c>
      <c r="D694" s="169" t="s">
        <v>338</v>
      </c>
      <c r="E694" s="170"/>
      <c r="F694" s="170"/>
      <c r="G694" s="170"/>
      <c r="H694" s="170"/>
      <c r="I694" s="61"/>
      <c r="J694" s="171">
        <f>J692+J693</f>
        <v>0</v>
      </c>
      <c r="K694" s="172"/>
      <c r="L694" s="62"/>
      <c r="M694" s="6"/>
      <c r="N694" s="52"/>
      <c r="O694" s="46"/>
      <c r="Q694" s="139"/>
    </row>
    <row r="695" spans="1:17" s="2" customFormat="1" ht="25.15" hidden="1" customHeight="1" x14ac:dyDescent="0.25">
      <c r="A695" s="139"/>
      <c r="B695" s="108"/>
      <c r="C695" s="142">
        <v>49</v>
      </c>
      <c r="D695" s="170" t="s">
        <v>340</v>
      </c>
      <c r="E695" s="170"/>
      <c r="F695" s="170"/>
      <c r="G695" s="170"/>
      <c r="H695" s="170"/>
      <c r="I695" s="119" t="s">
        <v>15</v>
      </c>
      <c r="J695" s="183"/>
      <c r="K695" s="184"/>
      <c r="L695" s="104" t="s">
        <v>16</v>
      </c>
      <c r="M695" s="6"/>
      <c r="N695" s="52"/>
      <c r="O695" s="46"/>
      <c r="Q695" s="139"/>
    </row>
    <row r="696" spans="1:17" s="2" customFormat="1" ht="25.15" hidden="1" customHeight="1" x14ac:dyDescent="0.25">
      <c r="A696" s="139"/>
      <c r="B696" s="107"/>
      <c r="C696" s="142">
        <v>50</v>
      </c>
      <c r="D696" s="173" t="s">
        <v>14</v>
      </c>
      <c r="E696" s="174"/>
      <c r="F696" s="174"/>
      <c r="G696" s="174"/>
      <c r="H696" s="174"/>
      <c r="I696" s="120"/>
      <c r="J696" s="175">
        <f>J694-J695</f>
        <v>0</v>
      </c>
      <c r="K696" s="172"/>
      <c r="L696" s="62"/>
      <c r="M696" s="6"/>
      <c r="N696" s="52"/>
      <c r="O696" s="46"/>
      <c r="Q696" s="139"/>
    </row>
    <row r="697" spans="1:17" ht="6" hidden="1" customHeight="1" thickBot="1" x14ac:dyDescent="0.3">
      <c r="B697" s="107"/>
      <c r="C697" s="66"/>
      <c r="D697" s="4"/>
      <c r="E697" s="4"/>
      <c r="F697" s="4"/>
      <c r="G697" s="4"/>
      <c r="H697" s="4"/>
      <c r="I697" s="4"/>
      <c r="J697" s="4"/>
      <c r="K697" s="4"/>
      <c r="L697" s="4"/>
      <c r="M697" s="4"/>
      <c r="N697" s="67"/>
      <c r="O697" s="45"/>
    </row>
    <row r="698" spans="1:17" s="2" customFormat="1" ht="27" hidden="1" customHeight="1" thickBot="1" x14ac:dyDescent="0.3">
      <c r="A698" s="139"/>
      <c r="B698" s="107"/>
      <c r="C698" s="84"/>
      <c r="D698" s="82" t="s">
        <v>10</v>
      </c>
      <c r="E698" s="176"/>
      <c r="F698" s="176"/>
      <c r="G698" s="176"/>
      <c r="H698" s="176"/>
      <c r="I698" s="176"/>
      <c r="J698" s="176"/>
      <c r="K698" s="176"/>
      <c r="L698" s="177"/>
      <c r="M698" s="24" t="s">
        <v>8</v>
      </c>
      <c r="N698" s="85"/>
      <c r="O698" s="46"/>
      <c r="Q698" s="139"/>
    </row>
    <row r="699" spans="1:17" s="2" customFormat="1" ht="28.15" hidden="1" customHeight="1" x14ac:dyDescent="0.25">
      <c r="A699" s="139"/>
      <c r="B699" s="108"/>
      <c r="C699" s="100" t="s">
        <v>11</v>
      </c>
      <c r="D699" s="93"/>
      <c r="E699" s="94"/>
      <c r="F699" s="94"/>
      <c r="G699" s="95"/>
      <c r="H699" s="96"/>
      <c r="I699" s="97"/>
      <c r="J699" s="97"/>
      <c r="K699" s="97"/>
      <c r="L699" s="101"/>
      <c r="M699" s="98"/>
      <c r="N699" s="99"/>
      <c r="O699" s="46"/>
      <c r="Q699" s="139"/>
    </row>
    <row r="700" spans="1:17" s="19" customFormat="1" ht="4.5" hidden="1" customHeight="1" x14ac:dyDescent="0.25">
      <c r="A700" s="139"/>
      <c r="B700" s="107"/>
      <c r="C700" s="179">
        <v>46</v>
      </c>
      <c r="D700" s="16"/>
      <c r="E700" s="16"/>
      <c r="F700" s="16"/>
      <c r="G700" s="16"/>
      <c r="H700" s="17"/>
      <c r="I700" s="20"/>
      <c r="J700" s="16"/>
      <c r="K700" s="17"/>
      <c r="L700" s="20"/>
      <c r="M700" s="18"/>
      <c r="N700" s="51"/>
      <c r="O700" s="47"/>
      <c r="Q700" s="139"/>
    </row>
    <row r="701" spans="1:17" s="2" customFormat="1" ht="25.15" hidden="1" customHeight="1" x14ac:dyDescent="0.25">
      <c r="A701" s="139"/>
      <c r="B701" s="107"/>
      <c r="C701" s="179"/>
      <c r="D701" s="170" t="s">
        <v>336</v>
      </c>
      <c r="E701" s="170"/>
      <c r="F701" s="170"/>
      <c r="G701" s="170"/>
      <c r="H701" s="170"/>
      <c r="I701" s="60"/>
      <c r="J701" s="183"/>
      <c r="K701" s="184"/>
      <c r="L701" s="60"/>
      <c r="M701" s="6"/>
      <c r="N701" s="52"/>
      <c r="O701" s="46"/>
      <c r="Q701" s="139"/>
    </row>
    <row r="702" spans="1:17" s="2" customFormat="1" ht="25.15" hidden="1" customHeight="1" x14ac:dyDescent="0.25">
      <c r="A702" s="139"/>
      <c r="B702" s="107"/>
      <c r="C702" s="79">
        <v>47</v>
      </c>
      <c r="D702" s="169" t="s">
        <v>337</v>
      </c>
      <c r="E702" s="170"/>
      <c r="F702" s="170"/>
      <c r="G702" s="170"/>
      <c r="H702" s="170"/>
      <c r="I702" s="61"/>
      <c r="J702" s="171">
        <f>-0.25*J701</f>
        <v>0</v>
      </c>
      <c r="K702" s="172"/>
      <c r="L702" s="62"/>
      <c r="M702" s="6"/>
      <c r="N702" s="52"/>
      <c r="O702" s="46"/>
      <c r="Q702" s="139"/>
    </row>
    <row r="703" spans="1:17" s="2" customFormat="1" ht="25.15" hidden="1" customHeight="1" x14ac:dyDescent="0.25">
      <c r="A703" s="139"/>
      <c r="B703" s="108"/>
      <c r="C703" s="79">
        <v>48</v>
      </c>
      <c r="D703" s="169" t="s">
        <v>338</v>
      </c>
      <c r="E703" s="170"/>
      <c r="F703" s="170"/>
      <c r="G703" s="170"/>
      <c r="H703" s="170"/>
      <c r="I703" s="61"/>
      <c r="J703" s="171">
        <f>J701+J702</f>
        <v>0</v>
      </c>
      <c r="K703" s="172"/>
      <c r="L703" s="62"/>
      <c r="M703" s="6"/>
      <c r="N703" s="52"/>
      <c r="O703" s="46"/>
      <c r="Q703" s="139"/>
    </row>
    <row r="704" spans="1:17" s="2" customFormat="1" ht="25.15" hidden="1" customHeight="1" x14ac:dyDescent="0.25">
      <c r="A704" s="139"/>
      <c r="B704" s="107"/>
      <c r="C704" s="142">
        <v>49</v>
      </c>
      <c r="D704" s="170" t="s">
        <v>340</v>
      </c>
      <c r="E704" s="170"/>
      <c r="F704" s="170"/>
      <c r="G704" s="170"/>
      <c r="H704" s="170"/>
      <c r="I704" s="119" t="s">
        <v>15</v>
      </c>
      <c r="J704" s="183"/>
      <c r="K704" s="184"/>
      <c r="L704" s="104" t="s">
        <v>16</v>
      </c>
      <c r="M704" s="6"/>
      <c r="N704" s="52"/>
      <c r="O704" s="46"/>
      <c r="Q704" s="139"/>
    </row>
    <row r="705" spans="1:17" s="2" customFormat="1" ht="25.15" hidden="1" customHeight="1" x14ac:dyDescent="0.25">
      <c r="A705" s="139"/>
      <c r="B705" s="107"/>
      <c r="C705" s="142">
        <v>50</v>
      </c>
      <c r="D705" s="173" t="s">
        <v>14</v>
      </c>
      <c r="E705" s="174"/>
      <c r="F705" s="174"/>
      <c r="G705" s="174"/>
      <c r="H705" s="174"/>
      <c r="I705" s="120"/>
      <c r="J705" s="175">
        <f>J703-J704</f>
        <v>0</v>
      </c>
      <c r="K705" s="172"/>
      <c r="L705" s="62"/>
      <c r="M705" s="6"/>
      <c r="N705" s="52"/>
      <c r="O705" s="46"/>
      <c r="Q705" s="139"/>
    </row>
    <row r="706" spans="1:17" ht="6" hidden="1" customHeight="1" thickBot="1" x14ac:dyDescent="0.3">
      <c r="B706" s="107"/>
      <c r="C706" s="66"/>
      <c r="D706" s="4"/>
      <c r="E706" s="4"/>
      <c r="F706" s="4"/>
      <c r="G706" s="4"/>
      <c r="H706" s="4"/>
      <c r="I706" s="4"/>
      <c r="J706" s="4"/>
      <c r="K706" s="4"/>
      <c r="L706" s="4"/>
      <c r="M706" s="4"/>
      <c r="N706" s="67"/>
      <c r="O706" s="45"/>
    </row>
    <row r="707" spans="1:17" s="2" customFormat="1" ht="27" hidden="1" customHeight="1" thickBot="1" x14ac:dyDescent="0.3">
      <c r="A707" s="139"/>
      <c r="B707" s="108"/>
      <c r="C707" s="84"/>
      <c r="D707" s="82" t="s">
        <v>10</v>
      </c>
      <c r="E707" s="176"/>
      <c r="F707" s="176"/>
      <c r="G707" s="176"/>
      <c r="H707" s="176"/>
      <c r="I707" s="176"/>
      <c r="J707" s="176"/>
      <c r="K707" s="176"/>
      <c r="L707" s="177"/>
      <c r="M707" s="24" t="s">
        <v>8</v>
      </c>
      <c r="N707" s="85"/>
      <c r="O707" s="46"/>
      <c r="Q707" s="139"/>
    </row>
    <row r="708" spans="1:17" s="2" customFormat="1" ht="28.15" hidden="1" customHeight="1" x14ac:dyDescent="0.25">
      <c r="A708" s="139"/>
      <c r="B708" s="107"/>
      <c r="C708" s="100" t="s">
        <v>11</v>
      </c>
      <c r="D708" s="93"/>
      <c r="E708" s="94"/>
      <c r="F708" s="94"/>
      <c r="G708" s="95"/>
      <c r="H708" s="96"/>
      <c r="I708" s="97"/>
      <c r="J708" s="97"/>
      <c r="K708" s="97"/>
      <c r="L708" s="101"/>
      <c r="M708" s="98"/>
      <c r="N708" s="99"/>
      <c r="O708" s="46"/>
      <c r="Q708" s="139"/>
    </row>
    <row r="709" spans="1:17" s="19" customFormat="1" ht="4.5" hidden="1" customHeight="1" x14ac:dyDescent="0.25">
      <c r="A709" s="139"/>
      <c r="B709" s="107"/>
      <c r="C709" s="179">
        <v>46</v>
      </c>
      <c r="D709" s="16"/>
      <c r="E709" s="16"/>
      <c r="F709" s="16"/>
      <c r="G709" s="16"/>
      <c r="H709" s="17"/>
      <c r="I709" s="20"/>
      <c r="J709" s="16"/>
      <c r="K709" s="17"/>
      <c r="L709" s="20"/>
      <c r="M709" s="18"/>
      <c r="N709" s="51"/>
      <c r="O709" s="47"/>
      <c r="Q709" s="139"/>
    </row>
    <row r="710" spans="1:17" s="2" customFormat="1" ht="25.15" hidden="1" customHeight="1" x14ac:dyDescent="0.25">
      <c r="A710" s="139"/>
      <c r="B710" s="107"/>
      <c r="C710" s="179"/>
      <c r="D710" s="170" t="s">
        <v>336</v>
      </c>
      <c r="E710" s="170"/>
      <c r="F710" s="170"/>
      <c r="G710" s="170"/>
      <c r="H710" s="170"/>
      <c r="I710" s="60"/>
      <c r="J710" s="183"/>
      <c r="K710" s="184"/>
      <c r="L710" s="60"/>
      <c r="M710" s="6"/>
      <c r="N710" s="52"/>
      <c r="O710" s="46"/>
      <c r="Q710" s="139"/>
    </row>
    <row r="711" spans="1:17" s="2" customFormat="1" ht="25.15" hidden="1" customHeight="1" x14ac:dyDescent="0.25">
      <c r="A711" s="139"/>
      <c r="B711" s="108"/>
      <c r="C711" s="79">
        <v>47</v>
      </c>
      <c r="D711" s="169" t="s">
        <v>337</v>
      </c>
      <c r="E711" s="170"/>
      <c r="F711" s="170"/>
      <c r="G711" s="170"/>
      <c r="H711" s="170"/>
      <c r="I711" s="61"/>
      <c r="J711" s="171">
        <f>-0.25*J710</f>
        <v>0</v>
      </c>
      <c r="K711" s="172"/>
      <c r="L711" s="62"/>
      <c r="M711" s="6"/>
      <c r="N711" s="52"/>
      <c r="O711" s="46"/>
      <c r="Q711" s="139"/>
    </row>
    <row r="712" spans="1:17" s="2" customFormat="1" ht="25.15" hidden="1" customHeight="1" x14ac:dyDescent="0.25">
      <c r="A712" s="139"/>
      <c r="B712" s="107"/>
      <c r="C712" s="79">
        <v>48</v>
      </c>
      <c r="D712" s="169" t="s">
        <v>338</v>
      </c>
      <c r="E712" s="170"/>
      <c r="F712" s="170"/>
      <c r="G712" s="170"/>
      <c r="H712" s="170"/>
      <c r="I712" s="61"/>
      <c r="J712" s="171">
        <f>J710+J711</f>
        <v>0</v>
      </c>
      <c r="K712" s="172"/>
      <c r="L712" s="62"/>
      <c r="M712" s="6"/>
      <c r="N712" s="52"/>
      <c r="O712" s="46"/>
      <c r="Q712" s="139"/>
    </row>
    <row r="713" spans="1:17" s="2" customFormat="1" ht="25.15" hidden="1" customHeight="1" x14ac:dyDescent="0.25">
      <c r="A713" s="139"/>
      <c r="B713" s="107"/>
      <c r="C713" s="142">
        <v>49</v>
      </c>
      <c r="D713" s="170" t="s">
        <v>340</v>
      </c>
      <c r="E713" s="170"/>
      <c r="F713" s="170"/>
      <c r="G713" s="170"/>
      <c r="H713" s="170"/>
      <c r="I713" s="119" t="s">
        <v>15</v>
      </c>
      <c r="J713" s="183"/>
      <c r="K713" s="184"/>
      <c r="L713" s="104" t="s">
        <v>16</v>
      </c>
      <c r="M713" s="6"/>
      <c r="N713" s="52"/>
      <c r="O713" s="46"/>
      <c r="Q713" s="139"/>
    </row>
    <row r="714" spans="1:17" s="2" customFormat="1" ht="25.15" hidden="1" customHeight="1" x14ac:dyDescent="0.25">
      <c r="A714" s="139"/>
      <c r="B714" s="107"/>
      <c r="C714" s="142">
        <v>50</v>
      </c>
      <c r="D714" s="173" t="s">
        <v>14</v>
      </c>
      <c r="E714" s="174"/>
      <c r="F714" s="174"/>
      <c r="G714" s="174"/>
      <c r="H714" s="174"/>
      <c r="I714" s="120"/>
      <c r="J714" s="175">
        <f>J712-J713</f>
        <v>0</v>
      </c>
      <c r="K714" s="172"/>
      <c r="L714" s="62"/>
      <c r="M714" s="6"/>
      <c r="N714" s="52"/>
      <c r="O714" s="46"/>
      <c r="Q714" s="139"/>
    </row>
    <row r="715" spans="1:17" ht="6" hidden="1" customHeight="1" thickBot="1" x14ac:dyDescent="0.3">
      <c r="B715" s="108"/>
      <c r="C715" s="66"/>
      <c r="D715" s="4"/>
      <c r="E715" s="4"/>
      <c r="F715" s="4"/>
      <c r="G715" s="4"/>
      <c r="H715" s="4"/>
      <c r="I715" s="4"/>
      <c r="J715" s="4"/>
      <c r="K715" s="4"/>
      <c r="L715" s="4"/>
      <c r="M715" s="4"/>
      <c r="N715" s="67"/>
      <c r="O715" s="45"/>
    </row>
    <row r="716" spans="1:17" s="2" customFormat="1" ht="27" hidden="1" customHeight="1" thickBot="1" x14ac:dyDescent="0.3">
      <c r="A716" s="139"/>
      <c r="B716" s="107"/>
      <c r="C716" s="84"/>
      <c r="D716" s="82" t="s">
        <v>10</v>
      </c>
      <c r="E716" s="176"/>
      <c r="F716" s="176"/>
      <c r="G716" s="176"/>
      <c r="H716" s="176"/>
      <c r="I716" s="176"/>
      <c r="J716" s="176"/>
      <c r="K716" s="176"/>
      <c r="L716" s="177"/>
      <c r="M716" s="24" t="s">
        <v>8</v>
      </c>
      <c r="N716" s="85"/>
      <c r="O716" s="46"/>
      <c r="Q716" s="139"/>
    </row>
    <row r="717" spans="1:17" s="2" customFormat="1" ht="28.15" hidden="1" customHeight="1" x14ac:dyDescent="0.25">
      <c r="A717" s="139"/>
      <c r="B717" s="107"/>
      <c r="C717" s="100" t="s">
        <v>11</v>
      </c>
      <c r="D717" s="93"/>
      <c r="E717" s="94"/>
      <c r="F717" s="94"/>
      <c r="G717" s="95"/>
      <c r="H717" s="96"/>
      <c r="I717" s="97"/>
      <c r="J717" s="97"/>
      <c r="K717" s="97"/>
      <c r="L717" s="101"/>
      <c r="M717" s="98"/>
      <c r="N717" s="99"/>
      <c r="O717" s="46"/>
      <c r="Q717" s="139"/>
    </row>
    <row r="718" spans="1:17" s="19" customFormat="1" ht="4.5" hidden="1" customHeight="1" x14ac:dyDescent="0.25">
      <c r="A718" s="139"/>
      <c r="B718" s="107"/>
      <c r="C718" s="179">
        <v>46</v>
      </c>
      <c r="D718" s="16"/>
      <c r="E718" s="16"/>
      <c r="F718" s="16"/>
      <c r="G718" s="16"/>
      <c r="H718" s="17"/>
      <c r="I718" s="20"/>
      <c r="J718" s="16"/>
      <c r="K718" s="17"/>
      <c r="L718" s="20"/>
      <c r="M718" s="18"/>
      <c r="N718" s="51"/>
      <c r="O718" s="47"/>
      <c r="Q718" s="139"/>
    </row>
    <row r="719" spans="1:17" s="2" customFormat="1" ht="25.15" hidden="1" customHeight="1" x14ac:dyDescent="0.25">
      <c r="A719" s="139"/>
      <c r="B719" s="108"/>
      <c r="C719" s="179"/>
      <c r="D719" s="170" t="s">
        <v>336</v>
      </c>
      <c r="E719" s="170"/>
      <c r="F719" s="170"/>
      <c r="G719" s="170"/>
      <c r="H719" s="170"/>
      <c r="I719" s="60"/>
      <c r="J719" s="183"/>
      <c r="K719" s="184"/>
      <c r="L719" s="60"/>
      <c r="M719" s="6"/>
      <c r="N719" s="52"/>
      <c r="O719" s="46"/>
      <c r="Q719" s="139"/>
    </row>
    <row r="720" spans="1:17" s="2" customFormat="1" ht="25.15" hidden="1" customHeight="1" x14ac:dyDescent="0.25">
      <c r="A720" s="139"/>
      <c r="B720" s="107"/>
      <c r="C720" s="79">
        <v>47</v>
      </c>
      <c r="D720" s="169" t="s">
        <v>337</v>
      </c>
      <c r="E720" s="170"/>
      <c r="F720" s="170"/>
      <c r="G720" s="170"/>
      <c r="H720" s="170"/>
      <c r="I720" s="61"/>
      <c r="J720" s="171">
        <f>-0.25*J719</f>
        <v>0</v>
      </c>
      <c r="K720" s="172"/>
      <c r="L720" s="62"/>
      <c r="M720" s="6"/>
      <c r="N720" s="52"/>
      <c r="O720" s="46"/>
      <c r="Q720" s="139"/>
    </row>
    <row r="721" spans="1:17" s="2" customFormat="1" ht="25.15" hidden="1" customHeight="1" x14ac:dyDescent="0.25">
      <c r="A721" s="139"/>
      <c r="B721" s="107"/>
      <c r="C721" s="79">
        <v>48</v>
      </c>
      <c r="D721" s="169" t="s">
        <v>338</v>
      </c>
      <c r="E721" s="170"/>
      <c r="F721" s="170"/>
      <c r="G721" s="170"/>
      <c r="H721" s="170"/>
      <c r="I721" s="61"/>
      <c r="J721" s="171">
        <f>J719+J720</f>
        <v>0</v>
      </c>
      <c r="K721" s="172"/>
      <c r="L721" s="62"/>
      <c r="M721" s="6"/>
      <c r="N721" s="52"/>
      <c r="O721" s="46"/>
      <c r="Q721" s="139"/>
    </row>
    <row r="722" spans="1:17" s="2" customFormat="1" ht="25.15" hidden="1" customHeight="1" x14ac:dyDescent="0.25">
      <c r="A722" s="139"/>
      <c r="B722" s="107"/>
      <c r="C722" s="142">
        <v>49</v>
      </c>
      <c r="D722" s="170" t="s">
        <v>340</v>
      </c>
      <c r="E722" s="170"/>
      <c r="F722" s="170"/>
      <c r="G722" s="170"/>
      <c r="H722" s="170"/>
      <c r="I722" s="119" t="s">
        <v>15</v>
      </c>
      <c r="J722" s="183"/>
      <c r="K722" s="184"/>
      <c r="L722" s="104" t="s">
        <v>16</v>
      </c>
      <c r="M722" s="6"/>
      <c r="N722" s="52"/>
      <c r="O722" s="46"/>
      <c r="Q722" s="139"/>
    </row>
    <row r="723" spans="1:17" s="2" customFormat="1" ht="25.15" hidden="1" customHeight="1" x14ac:dyDescent="0.25">
      <c r="A723" s="139"/>
      <c r="B723" s="108"/>
      <c r="C723" s="142">
        <v>50</v>
      </c>
      <c r="D723" s="173" t="s">
        <v>14</v>
      </c>
      <c r="E723" s="174"/>
      <c r="F723" s="174"/>
      <c r="G723" s="174"/>
      <c r="H723" s="174"/>
      <c r="I723" s="120"/>
      <c r="J723" s="175">
        <f>J721-J722</f>
        <v>0</v>
      </c>
      <c r="K723" s="172"/>
      <c r="L723" s="62"/>
      <c r="M723" s="6"/>
      <c r="N723" s="52"/>
      <c r="O723" s="46"/>
      <c r="Q723" s="139"/>
    </row>
    <row r="724" spans="1:17" ht="6" hidden="1" customHeight="1" thickBot="1" x14ac:dyDescent="0.3">
      <c r="B724" s="107"/>
      <c r="C724" s="66"/>
      <c r="D724" s="4"/>
      <c r="E724" s="4"/>
      <c r="F724" s="4"/>
      <c r="G724" s="4"/>
      <c r="H724" s="4"/>
      <c r="I724" s="4"/>
      <c r="J724" s="4"/>
      <c r="K724" s="4"/>
      <c r="L724" s="4"/>
      <c r="M724" s="4"/>
      <c r="N724" s="67"/>
      <c r="O724" s="45"/>
    </row>
    <row r="725" spans="1:17" s="2" customFormat="1" ht="12" customHeight="1" thickBot="1" x14ac:dyDescent="0.3">
      <c r="A725" s="140"/>
      <c r="B725" s="110"/>
      <c r="C725" s="59"/>
      <c r="D725" s="59"/>
      <c r="E725" s="59"/>
      <c r="F725" s="59"/>
      <c r="G725" s="59"/>
      <c r="H725" s="59"/>
      <c r="I725" s="59"/>
      <c r="J725" s="59"/>
      <c r="K725" s="59"/>
      <c r="L725" s="59"/>
      <c r="M725" s="59"/>
      <c r="N725" s="59"/>
      <c r="O725" s="111"/>
      <c r="Q725" s="139"/>
    </row>
    <row r="726" spans="1:17" s="2" customFormat="1" ht="6" customHeight="1" x14ac:dyDescent="0.25">
      <c r="A726" s="141"/>
      <c r="B726" s="109"/>
      <c r="C726" s="7"/>
      <c r="D726" s="7"/>
      <c r="E726" s="7"/>
      <c r="F726" s="7"/>
      <c r="G726" s="7"/>
      <c r="H726" s="7"/>
      <c r="I726" s="7"/>
      <c r="J726" s="7"/>
      <c r="K726" s="7"/>
      <c r="L726" s="7"/>
      <c r="M726" s="7"/>
      <c r="N726" s="7"/>
      <c r="O726" s="11"/>
      <c r="P726" s="11"/>
      <c r="Q726" s="139"/>
    </row>
    <row r="727" spans="1:17" s="2" customFormat="1" ht="6" customHeight="1" x14ac:dyDescent="0.25">
      <c r="A727" s="139"/>
      <c r="B727" s="5"/>
      <c r="C727" s="7"/>
      <c r="D727" s="7"/>
      <c r="E727" s="7"/>
      <c r="F727" s="7"/>
      <c r="G727" s="7"/>
      <c r="H727" s="7"/>
      <c r="I727" s="7"/>
      <c r="J727" s="7"/>
      <c r="K727" s="7"/>
      <c r="L727" s="7"/>
      <c r="M727" s="7"/>
      <c r="N727" s="7"/>
      <c r="Q727" s="139"/>
    </row>
    <row r="728" spans="1:17" ht="9.6" customHeight="1" thickBot="1" x14ac:dyDescent="0.3"/>
    <row r="729" spans="1:17" ht="24" customHeight="1" thickBot="1" x14ac:dyDescent="0.3">
      <c r="B729" s="112"/>
      <c r="C729" s="118" t="s">
        <v>396</v>
      </c>
      <c r="D729" s="113"/>
      <c r="E729" s="113"/>
      <c r="F729" s="113"/>
      <c r="G729" s="113"/>
      <c r="H729" s="113"/>
      <c r="I729" s="113"/>
      <c r="J729" s="113"/>
      <c r="K729" s="113"/>
      <c r="L729" s="113"/>
      <c r="M729" s="113"/>
      <c r="N729" s="113"/>
      <c r="O729" s="44"/>
    </row>
    <row r="730" spans="1:17" ht="24" customHeight="1" x14ac:dyDescent="0.25">
      <c r="B730" s="114"/>
      <c r="C730" s="185"/>
      <c r="D730" s="186"/>
      <c r="E730" s="186"/>
      <c r="F730" s="186"/>
      <c r="G730" s="186"/>
      <c r="H730" s="186"/>
      <c r="I730" s="186"/>
      <c r="J730" s="186"/>
      <c r="K730" s="186"/>
      <c r="L730" s="186"/>
      <c r="M730" s="186"/>
      <c r="N730" s="187"/>
      <c r="O730" s="45"/>
    </row>
    <row r="731" spans="1:17" ht="24" customHeight="1" x14ac:dyDescent="0.25">
      <c r="B731" s="114"/>
      <c r="C731" s="188"/>
      <c r="D731" s="189"/>
      <c r="E731" s="189"/>
      <c r="F731" s="189"/>
      <c r="G731" s="189"/>
      <c r="H731" s="189"/>
      <c r="I731" s="189"/>
      <c r="J731" s="189"/>
      <c r="K731" s="189"/>
      <c r="L731" s="189"/>
      <c r="M731" s="189"/>
      <c r="N731" s="190"/>
      <c r="O731" s="45"/>
    </row>
    <row r="732" spans="1:17" ht="24" customHeight="1" x14ac:dyDescent="0.25">
      <c r="B732" s="114"/>
      <c r="C732" s="188"/>
      <c r="D732" s="189"/>
      <c r="E732" s="189"/>
      <c r="F732" s="189"/>
      <c r="G732" s="189"/>
      <c r="H732" s="189"/>
      <c r="I732" s="189"/>
      <c r="J732" s="189"/>
      <c r="K732" s="189"/>
      <c r="L732" s="189"/>
      <c r="M732" s="189"/>
      <c r="N732" s="190"/>
      <c r="O732" s="45"/>
    </row>
    <row r="733" spans="1:17" ht="24" customHeight="1" x14ac:dyDescent="0.25">
      <c r="B733" s="114"/>
      <c r="C733" s="188"/>
      <c r="D733" s="189"/>
      <c r="E733" s="189"/>
      <c r="F733" s="189"/>
      <c r="G733" s="189"/>
      <c r="H733" s="189"/>
      <c r="I733" s="189"/>
      <c r="J733" s="189"/>
      <c r="K733" s="189"/>
      <c r="L733" s="189"/>
      <c r="M733" s="189"/>
      <c r="N733" s="190"/>
      <c r="O733" s="45"/>
    </row>
    <row r="734" spans="1:17" ht="24" customHeight="1" x14ac:dyDescent="0.25">
      <c r="B734" s="114"/>
      <c r="C734" s="188"/>
      <c r="D734" s="189"/>
      <c r="E734" s="189"/>
      <c r="F734" s="189"/>
      <c r="G734" s="189"/>
      <c r="H734" s="189"/>
      <c r="I734" s="189"/>
      <c r="J734" s="189"/>
      <c r="K734" s="189"/>
      <c r="L734" s="189"/>
      <c r="M734" s="189"/>
      <c r="N734" s="190"/>
      <c r="O734" s="45"/>
    </row>
    <row r="735" spans="1:17" ht="24" customHeight="1" x14ac:dyDescent="0.25">
      <c r="B735" s="114"/>
      <c r="C735" s="188"/>
      <c r="D735" s="189"/>
      <c r="E735" s="189"/>
      <c r="F735" s="189"/>
      <c r="G735" s="189"/>
      <c r="H735" s="189"/>
      <c r="I735" s="189"/>
      <c r="J735" s="189"/>
      <c r="K735" s="189"/>
      <c r="L735" s="189"/>
      <c r="M735" s="189"/>
      <c r="N735" s="190"/>
      <c r="O735" s="45"/>
    </row>
    <row r="736" spans="1:17" ht="24" customHeight="1" x14ac:dyDescent="0.25">
      <c r="B736" s="114"/>
      <c r="C736" s="188"/>
      <c r="D736" s="189"/>
      <c r="E736" s="189"/>
      <c r="F736" s="189"/>
      <c r="G736" s="189"/>
      <c r="H736" s="189"/>
      <c r="I736" s="189"/>
      <c r="J736" s="189"/>
      <c r="K736" s="189"/>
      <c r="L736" s="189"/>
      <c r="M736" s="189"/>
      <c r="N736" s="190"/>
      <c r="O736" s="45"/>
    </row>
    <row r="737" spans="2:15" ht="24" customHeight="1" thickBot="1" x14ac:dyDescent="0.3">
      <c r="B737" s="114"/>
      <c r="C737" s="191"/>
      <c r="D737" s="192"/>
      <c r="E737" s="192"/>
      <c r="F737" s="192"/>
      <c r="G737" s="192"/>
      <c r="H737" s="192"/>
      <c r="I737" s="192"/>
      <c r="J737" s="192"/>
      <c r="K737" s="192"/>
      <c r="L737" s="192"/>
      <c r="M737" s="192"/>
      <c r="N737" s="193"/>
      <c r="O737" s="45"/>
    </row>
    <row r="738" spans="2:15" ht="16.149999999999999" customHeight="1" thickBot="1" x14ac:dyDescent="0.3">
      <c r="B738" s="115"/>
      <c r="C738" s="116"/>
      <c r="D738" s="116"/>
      <c r="E738" s="116"/>
      <c r="F738" s="116"/>
      <c r="G738" s="116"/>
      <c r="H738" s="116"/>
      <c r="I738" s="116"/>
      <c r="J738" s="116"/>
      <c r="K738" s="116"/>
      <c r="L738" s="116"/>
      <c r="M738" s="116"/>
      <c r="N738" s="116"/>
      <c r="O738" s="117"/>
    </row>
  </sheetData>
  <sheetProtection algorithmName="SHA-512" hashValue="BtxJMCKC2JyhFJ4AaQJ6DVOiF5LqS0ZXmM8/RHfuH2gXVFEdm/J/Gl1dK1HNjpeylcknf5r49P6CVChsGfiDKA==" saltValue="4hJS/N6V+Qggm1C4VeBK0A==" spinCount="100000" sheet="1" objects="1" scenarios="1"/>
  <mergeCells count="629">
    <mergeCell ref="C78:C79"/>
    <mergeCell ref="D79:H79"/>
    <mergeCell ref="J79:K79"/>
    <mergeCell ref="D73:H73"/>
    <mergeCell ref="D74:H74"/>
    <mergeCell ref="J73:K73"/>
    <mergeCell ref="J74:K74"/>
    <mergeCell ref="C71:C72"/>
    <mergeCell ref="C64:C65"/>
    <mergeCell ref="J72:K72"/>
    <mergeCell ref="D65:H65"/>
    <mergeCell ref="D66:H66"/>
    <mergeCell ref="D67:H67"/>
    <mergeCell ref="J65:K65"/>
    <mergeCell ref="J66:K66"/>
    <mergeCell ref="J67:K67"/>
    <mergeCell ref="E69:L69"/>
    <mergeCell ref="D72:H72"/>
    <mergeCell ref="J121:K121"/>
    <mergeCell ref="D112:H112"/>
    <mergeCell ref="D113:H113"/>
    <mergeCell ref="C108:C109"/>
    <mergeCell ref="D109:H109"/>
    <mergeCell ref="D110:H110"/>
    <mergeCell ref="D114:H114"/>
    <mergeCell ref="D111:G111"/>
    <mergeCell ref="D115:H115"/>
    <mergeCell ref="E116:G116"/>
    <mergeCell ref="C31:C32"/>
    <mergeCell ref="J27:K27"/>
    <mergeCell ref="C46:C47"/>
    <mergeCell ref="D60:H60"/>
    <mergeCell ref="E62:L62"/>
    <mergeCell ref="E29:L29"/>
    <mergeCell ref="D32:H32"/>
    <mergeCell ref="D33:H33"/>
    <mergeCell ref="D37:H37"/>
    <mergeCell ref="E44:L44"/>
    <mergeCell ref="D47:H47"/>
    <mergeCell ref="D38:H38"/>
    <mergeCell ref="D34:G34"/>
    <mergeCell ref="E39:G39"/>
    <mergeCell ref="J42:K42"/>
    <mergeCell ref="D35:H35"/>
    <mergeCell ref="D36:H36"/>
    <mergeCell ref="D48:H48"/>
    <mergeCell ref="D49:G49"/>
    <mergeCell ref="D50:H50"/>
    <mergeCell ref="D51:H51"/>
    <mergeCell ref="D52:H52"/>
    <mergeCell ref="D53:H53"/>
    <mergeCell ref="E54:G54"/>
    <mergeCell ref="M3:N3"/>
    <mergeCell ref="E24:G24"/>
    <mergeCell ref="D17:H17"/>
    <mergeCell ref="D18:H18"/>
    <mergeCell ref="D20:H20"/>
    <mergeCell ref="D21:H21"/>
    <mergeCell ref="D22:H22"/>
    <mergeCell ref="D23:H23"/>
    <mergeCell ref="E14:L14"/>
    <mergeCell ref="B3:E3"/>
    <mergeCell ref="C6:N6"/>
    <mergeCell ref="C5:N5"/>
    <mergeCell ref="D12:H12"/>
    <mergeCell ref="C16:C17"/>
    <mergeCell ref="B10:I10"/>
    <mergeCell ref="M8:N8"/>
    <mergeCell ref="F3:I3"/>
    <mergeCell ref="E7:F7"/>
    <mergeCell ref="B7:D7"/>
    <mergeCell ref="G7:H7"/>
    <mergeCell ref="I7:J7"/>
    <mergeCell ref="D229:H229"/>
    <mergeCell ref="E184:G184"/>
    <mergeCell ref="J172:K172"/>
    <mergeCell ref="E191:L191"/>
    <mergeCell ref="D97:H97"/>
    <mergeCell ref="B85:I85"/>
    <mergeCell ref="D98:H98"/>
    <mergeCell ref="E99:G99"/>
    <mergeCell ref="J104:K104"/>
    <mergeCell ref="D87:H87"/>
    <mergeCell ref="E89:L89"/>
    <mergeCell ref="C91:C92"/>
    <mergeCell ref="D92:H92"/>
    <mergeCell ref="D93:H93"/>
    <mergeCell ref="D95:H95"/>
    <mergeCell ref="D96:H96"/>
    <mergeCell ref="D94:G94"/>
    <mergeCell ref="E106:L106"/>
    <mergeCell ref="E123:L123"/>
    <mergeCell ref="C125:C126"/>
    <mergeCell ref="D126:H126"/>
    <mergeCell ref="E140:L140"/>
    <mergeCell ref="C142:C143"/>
    <mergeCell ref="D143:H143"/>
    <mergeCell ref="J155:K155"/>
    <mergeCell ref="D127:H127"/>
    <mergeCell ref="D128:G128"/>
    <mergeCell ref="D129:H129"/>
    <mergeCell ref="D130:H130"/>
    <mergeCell ref="D131:H131"/>
    <mergeCell ref="D132:H132"/>
    <mergeCell ref="E133:G133"/>
    <mergeCell ref="D181:H181"/>
    <mergeCell ref="J138:K138"/>
    <mergeCell ref="D179:G179"/>
    <mergeCell ref="D180:H180"/>
    <mergeCell ref="D144:H144"/>
    <mergeCell ref="D145:G145"/>
    <mergeCell ref="D146:H146"/>
    <mergeCell ref="D147:H147"/>
    <mergeCell ref="D148:H148"/>
    <mergeCell ref="D149:H149"/>
    <mergeCell ref="E150:G150"/>
    <mergeCell ref="D182:H182"/>
    <mergeCell ref="D183:H183"/>
    <mergeCell ref="E218:G218"/>
    <mergeCell ref="E167:G167"/>
    <mergeCell ref="E157:L157"/>
    <mergeCell ref="C159:C160"/>
    <mergeCell ref="D160:H160"/>
    <mergeCell ref="E174:L174"/>
    <mergeCell ref="C176:C177"/>
    <mergeCell ref="D177:H177"/>
    <mergeCell ref="D178:H178"/>
    <mergeCell ref="D161:H161"/>
    <mergeCell ref="D162:G162"/>
    <mergeCell ref="D163:H163"/>
    <mergeCell ref="D164:H164"/>
    <mergeCell ref="D165:H165"/>
    <mergeCell ref="D166:H166"/>
    <mergeCell ref="D215:H215"/>
    <mergeCell ref="D216:H216"/>
    <mergeCell ref="D214:H214"/>
    <mergeCell ref="J206:K206"/>
    <mergeCell ref="E225:L225"/>
    <mergeCell ref="C227:C228"/>
    <mergeCell ref="D228:H228"/>
    <mergeCell ref="D213:G213"/>
    <mergeCell ref="D217:H217"/>
    <mergeCell ref="E201:G201"/>
    <mergeCell ref="J189:K189"/>
    <mergeCell ref="E208:L208"/>
    <mergeCell ref="C210:C211"/>
    <mergeCell ref="D211:H211"/>
    <mergeCell ref="D212:H212"/>
    <mergeCell ref="D196:G196"/>
    <mergeCell ref="D197:H197"/>
    <mergeCell ref="D198:H198"/>
    <mergeCell ref="D199:H199"/>
    <mergeCell ref="D200:H200"/>
    <mergeCell ref="J223:K223"/>
    <mergeCell ref="C193:C194"/>
    <mergeCell ref="D194:H194"/>
    <mergeCell ref="D195:H195"/>
    <mergeCell ref="E242:L242"/>
    <mergeCell ref="C244:C245"/>
    <mergeCell ref="D245:H245"/>
    <mergeCell ref="D230:G230"/>
    <mergeCell ref="D231:H231"/>
    <mergeCell ref="D232:H232"/>
    <mergeCell ref="D233:H233"/>
    <mergeCell ref="D234:H234"/>
    <mergeCell ref="D294:H294"/>
    <mergeCell ref="D246:H246"/>
    <mergeCell ref="D247:G247"/>
    <mergeCell ref="D248:H248"/>
    <mergeCell ref="D249:H249"/>
    <mergeCell ref="D250:H250"/>
    <mergeCell ref="D251:H251"/>
    <mergeCell ref="E252:G252"/>
    <mergeCell ref="J257:K257"/>
    <mergeCell ref="J240:K240"/>
    <mergeCell ref="D266:H266"/>
    <mergeCell ref="D267:H267"/>
    <mergeCell ref="D282:H282"/>
    <mergeCell ref="E296:L296"/>
    <mergeCell ref="E276:L276"/>
    <mergeCell ref="C278:C279"/>
    <mergeCell ref="D279:H279"/>
    <mergeCell ref="E259:L259"/>
    <mergeCell ref="C261:C262"/>
    <mergeCell ref="D262:H262"/>
    <mergeCell ref="E235:G235"/>
    <mergeCell ref="C298:C299"/>
    <mergeCell ref="D299:H299"/>
    <mergeCell ref="J299:K299"/>
    <mergeCell ref="D280:H280"/>
    <mergeCell ref="D281:G281"/>
    <mergeCell ref="D283:H283"/>
    <mergeCell ref="D284:H284"/>
    <mergeCell ref="D285:H285"/>
    <mergeCell ref="E286:G286"/>
    <mergeCell ref="J291:K291"/>
    <mergeCell ref="D263:H263"/>
    <mergeCell ref="D264:G264"/>
    <mergeCell ref="D265:H265"/>
    <mergeCell ref="D268:H268"/>
    <mergeCell ref="E269:G269"/>
    <mergeCell ref="J274:K274"/>
    <mergeCell ref="D303:H303"/>
    <mergeCell ref="J303:K303"/>
    <mergeCell ref="E305:L305"/>
    <mergeCell ref="C307:C308"/>
    <mergeCell ref="D308:H308"/>
    <mergeCell ref="J308:K308"/>
    <mergeCell ref="D300:H300"/>
    <mergeCell ref="J300:K300"/>
    <mergeCell ref="D301:H301"/>
    <mergeCell ref="J301:K301"/>
    <mergeCell ref="D302:H302"/>
    <mergeCell ref="J302:K302"/>
    <mergeCell ref="D312:H312"/>
    <mergeCell ref="J312:K312"/>
    <mergeCell ref="E314:L314"/>
    <mergeCell ref="C316:C317"/>
    <mergeCell ref="D317:H317"/>
    <mergeCell ref="J317:K317"/>
    <mergeCell ref="D309:H309"/>
    <mergeCell ref="J309:K309"/>
    <mergeCell ref="D310:H310"/>
    <mergeCell ref="J310:K310"/>
    <mergeCell ref="D311:H311"/>
    <mergeCell ref="J311:K311"/>
    <mergeCell ref="D321:H321"/>
    <mergeCell ref="J321:K321"/>
    <mergeCell ref="E323:L323"/>
    <mergeCell ref="C325:C326"/>
    <mergeCell ref="D326:H326"/>
    <mergeCell ref="J326:K326"/>
    <mergeCell ref="D318:H318"/>
    <mergeCell ref="J318:K318"/>
    <mergeCell ref="D319:H319"/>
    <mergeCell ref="J319:K319"/>
    <mergeCell ref="D320:H320"/>
    <mergeCell ref="J320:K320"/>
    <mergeCell ref="D330:H330"/>
    <mergeCell ref="J330:K330"/>
    <mergeCell ref="E332:L332"/>
    <mergeCell ref="C334:C335"/>
    <mergeCell ref="D335:H335"/>
    <mergeCell ref="J335:K335"/>
    <mergeCell ref="D327:H327"/>
    <mergeCell ref="J327:K327"/>
    <mergeCell ref="D328:H328"/>
    <mergeCell ref="J328:K328"/>
    <mergeCell ref="D329:H329"/>
    <mergeCell ref="J329:K329"/>
    <mergeCell ref="D339:H339"/>
    <mergeCell ref="J339:K339"/>
    <mergeCell ref="E341:L341"/>
    <mergeCell ref="C343:C344"/>
    <mergeCell ref="D344:H344"/>
    <mergeCell ref="J344:K344"/>
    <mergeCell ref="D336:H336"/>
    <mergeCell ref="J336:K336"/>
    <mergeCell ref="D337:H337"/>
    <mergeCell ref="J337:K337"/>
    <mergeCell ref="D338:H338"/>
    <mergeCell ref="J338:K338"/>
    <mergeCell ref="D348:H348"/>
    <mergeCell ref="J348:K348"/>
    <mergeCell ref="E350:L350"/>
    <mergeCell ref="C352:C353"/>
    <mergeCell ref="D353:H353"/>
    <mergeCell ref="J353:K353"/>
    <mergeCell ref="D345:H345"/>
    <mergeCell ref="J345:K345"/>
    <mergeCell ref="D346:H346"/>
    <mergeCell ref="J346:K346"/>
    <mergeCell ref="D347:H347"/>
    <mergeCell ref="J347:K347"/>
    <mergeCell ref="D357:H357"/>
    <mergeCell ref="J357:K357"/>
    <mergeCell ref="E359:L359"/>
    <mergeCell ref="C361:C362"/>
    <mergeCell ref="D362:H362"/>
    <mergeCell ref="J362:K362"/>
    <mergeCell ref="D354:H354"/>
    <mergeCell ref="J354:K354"/>
    <mergeCell ref="D355:H355"/>
    <mergeCell ref="J355:K355"/>
    <mergeCell ref="D356:H356"/>
    <mergeCell ref="J356:K356"/>
    <mergeCell ref="D366:H366"/>
    <mergeCell ref="J366:K366"/>
    <mergeCell ref="E368:L368"/>
    <mergeCell ref="C370:C371"/>
    <mergeCell ref="D371:H371"/>
    <mergeCell ref="J371:K371"/>
    <mergeCell ref="D363:H363"/>
    <mergeCell ref="J363:K363"/>
    <mergeCell ref="D364:H364"/>
    <mergeCell ref="J364:K364"/>
    <mergeCell ref="D365:H365"/>
    <mergeCell ref="J365:K365"/>
    <mergeCell ref="D375:H375"/>
    <mergeCell ref="J375:K375"/>
    <mergeCell ref="E377:L377"/>
    <mergeCell ref="C379:C380"/>
    <mergeCell ref="D380:H380"/>
    <mergeCell ref="J380:K380"/>
    <mergeCell ref="D372:H372"/>
    <mergeCell ref="J372:K372"/>
    <mergeCell ref="D373:H373"/>
    <mergeCell ref="J373:K373"/>
    <mergeCell ref="D374:H374"/>
    <mergeCell ref="J374:K374"/>
    <mergeCell ref="D384:H384"/>
    <mergeCell ref="J384:K384"/>
    <mergeCell ref="E386:L386"/>
    <mergeCell ref="C388:C389"/>
    <mergeCell ref="D389:H389"/>
    <mergeCell ref="J389:K389"/>
    <mergeCell ref="D381:H381"/>
    <mergeCell ref="J381:K381"/>
    <mergeCell ref="D382:H382"/>
    <mergeCell ref="J382:K382"/>
    <mergeCell ref="D383:H383"/>
    <mergeCell ref="J383:K383"/>
    <mergeCell ref="D399:H399"/>
    <mergeCell ref="J399:K399"/>
    <mergeCell ref="D400:H400"/>
    <mergeCell ref="D390:H390"/>
    <mergeCell ref="J390:K390"/>
    <mergeCell ref="D391:H391"/>
    <mergeCell ref="J391:K391"/>
    <mergeCell ref="D392:H392"/>
    <mergeCell ref="J392:K392"/>
    <mergeCell ref="D470:H470"/>
    <mergeCell ref="E471:G471"/>
    <mergeCell ref="E478:L478"/>
    <mergeCell ref="C429:C430"/>
    <mergeCell ref="D430:H430"/>
    <mergeCell ref="D393:H393"/>
    <mergeCell ref="J393:K393"/>
    <mergeCell ref="E395:L395"/>
    <mergeCell ref="C397:C398"/>
    <mergeCell ref="D398:H398"/>
    <mergeCell ref="J398:K398"/>
    <mergeCell ref="E420:G420"/>
    <mergeCell ref="J425:K425"/>
    <mergeCell ref="B406:I406"/>
    <mergeCell ref="D408:H408"/>
    <mergeCell ref="E410:L410"/>
    <mergeCell ref="C412:C413"/>
    <mergeCell ref="D413:H413"/>
    <mergeCell ref="D414:H414"/>
    <mergeCell ref="D416:H416"/>
    <mergeCell ref="D417:H417"/>
    <mergeCell ref="D418:H418"/>
    <mergeCell ref="D402:H402"/>
    <mergeCell ref="J402:K402"/>
    <mergeCell ref="J400:K400"/>
    <mergeCell ref="D401:H401"/>
    <mergeCell ref="J401:K401"/>
    <mergeCell ref="D419:H419"/>
    <mergeCell ref="D431:H431"/>
    <mergeCell ref="D433:H433"/>
    <mergeCell ref="D415:G415"/>
    <mergeCell ref="D517:G517"/>
    <mergeCell ref="D518:H518"/>
    <mergeCell ref="J510:K510"/>
    <mergeCell ref="D432:G432"/>
    <mergeCell ref="D434:H434"/>
    <mergeCell ref="D435:H435"/>
    <mergeCell ref="D436:H436"/>
    <mergeCell ref="E437:G437"/>
    <mergeCell ref="J442:K442"/>
    <mergeCell ref="E427:L427"/>
    <mergeCell ref="E444:L444"/>
    <mergeCell ref="D465:H465"/>
    <mergeCell ref="D466:G466"/>
    <mergeCell ref="D467:H467"/>
    <mergeCell ref="D468:H468"/>
    <mergeCell ref="D500:G500"/>
    <mergeCell ref="D501:H501"/>
    <mergeCell ref="D519:H519"/>
    <mergeCell ref="D520:H520"/>
    <mergeCell ref="D521:H521"/>
    <mergeCell ref="D482:H482"/>
    <mergeCell ref="D483:G483"/>
    <mergeCell ref="D487:H487"/>
    <mergeCell ref="E505:G505"/>
    <mergeCell ref="D502:H502"/>
    <mergeCell ref="D503:H503"/>
    <mergeCell ref="D504:H504"/>
    <mergeCell ref="D486:H486"/>
    <mergeCell ref="D499:H499"/>
    <mergeCell ref="D498:H498"/>
    <mergeCell ref="D516:H516"/>
    <mergeCell ref="D615:H615"/>
    <mergeCell ref="E617:L617"/>
    <mergeCell ref="D484:H484"/>
    <mergeCell ref="D485:H485"/>
    <mergeCell ref="E488:G488"/>
    <mergeCell ref="J493:K493"/>
    <mergeCell ref="E461:L461"/>
    <mergeCell ref="D587:H587"/>
    <mergeCell ref="D588:H588"/>
    <mergeCell ref="D601:H601"/>
    <mergeCell ref="E495:L495"/>
    <mergeCell ref="E529:L529"/>
    <mergeCell ref="D532:H532"/>
    <mergeCell ref="E597:L597"/>
    <mergeCell ref="D600:H600"/>
    <mergeCell ref="E512:L512"/>
    <mergeCell ref="D602:G602"/>
    <mergeCell ref="D603:H603"/>
    <mergeCell ref="D604:H604"/>
    <mergeCell ref="D605:H605"/>
    <mergeCell ref="D606:H606"/>
    <mergeCell ref="E607:G607"/>
    <mergeCell ref="J612:K612"/>
    <mergeCell ref="D584:H584"/>
    <mergeCell ref="C619:C620"/>
    <mergeCell ref="D620:H620"/>
    <mergeCell ref="J620:K620"/>
    <mergeCell ref="D621:H621"/>
    <mergeCell ref="J621:K621"/>
    <mergeCell ref="D622:H622"/>
    <mergeCell ref="J622:K622"/>
    <mergeCell ref="D623:H623"/>
    <mergeCell ref="J623:K623"/>
    <mergeCell ref="D624:H624"/>
    <mergeCell ref="J624:K624"/>
    <mergeCell ref="E626:L626"/>
    <mergeCell ref="C628:C629"/>
    <mergeCell ref="D629:H629"/>
    <mergeCell ref="J629:K629"/>
    <mergeCell ref="D630:H630"/>
    <mergeCell ref="J630:K630"/>
    <mergeCell ref="D631:H631"/>
    <mergeCell ref="J631:K631"/>
    <mergeCell ref="D632:H632"/>
    <mergeCell ref="J632:K632"/>
    <mergeCell ref="D633:H633"/>
    <mergeCell ref="J633:K633"/>
    <mergeCell ref="E635:L635"/>
    <mergeCell ref="C637:C638"/>
    <mergeCell ref="D638:H638"/>
    <mergeCell ref="J638:K638"/>
    <mergeCell ref="D639:H639"/>
    <mergeCell ref="J639:K639"/>
    <mergeCell ref="D640:H640"/>
    <mergeCell ref="J640:K640"/>
    <mergeCell ref="D641:H641"/>
    <mergeCell ref="J641:K641"/>
    <mergeCell ref="D642:H642"/>
    <mergeCell ref="J642:K642"/>
    <mergeCell ref="E644:L644"/>
    <mergeCell ref="C646:C647"/>
    <mergeCell ref="D647:H647"/>
    <mergeCell ref="J647:K647"/>
    <mergeCell ref="D648:H648"/>
    <mergeCell ref="J648:K648"/>
    <mergeCell ref="D649:H649"/>
    <mergeCell ref="J649:K649"/>
    <mergeCell ref="D650:H650"/>
    <mergeCell ref="J650:K650"/>
    <mergeCell ref="D651:H651"/>
    <mergeCell ref="J651:K651"/>
    <mergeCell ref="E653:L653"/>
    <mergeCell ref="J665:K665"/>
    <mergeCell ref="D666:H666"/>
    <mergeCell ref="J666:K666"/>
    <mergeCell ref="D667:H667"/>
    <mergeCell ref="J667:K667"/>
    <mergeCell ref="C655:C656"/>
    <mergeCell ref="D656:H656"/>
    <mergeCell ref="J656:K656"/>
    <mergeCell ref="D657:H657"/>
    <mergeCell ref="J657:K657"/>
    <mergeCell ref="D658:H658"/>
    <mergeCell ref="J658:K658"/>
    <mergeCell ref="D659:H659"/>
    <mergeCell ref="J659:K659"/>
    <mergeCell ref="E662:L662"/>
    <mergeCell ref="D660:H660"/>
    <mergeCell ref="J660:K660"/>
    <mergeCell ref="D693:H693"/>
    <mergeCell ref="J693:K693"/>
    <mergeCell ref="D694:H694"/>
    <mergeCell ref="J694:K694"/>
    <mergeCell ref="D695:H695"/>
    <mergeCell ref="J695:K695"/>
    <mergeCell ref="J676:K676"/>
    <mergeCell ref="D677:H677"/>
    <mergeCell ref="J677:K677"/>
    <mergeCell ref="D678:H678"/>
    <mergeCell ref="J678:K678"/>
    <mergeCell ref="E680:L680"/>
    <mergeCell ref="D683:H683"/>
    <mergeCell ref="J683:K683"/>
    <mergeCell ref="D676:H676"/>
    <mergeCell ref="D687:H687"/>
    <mergeCell ref="J687:K687"/>
    <mergeCell ref="E689:L689"/>
    <mergeCell ref="D692:H692"/>
    <mergeCell ref="J692:K692"/>
    <mergeCell ref="C730:N737"/>
    <mergeCell ref="D712:H712"/>
    <mergeCell ref="J712:K712"/>
    <mergeCell ref="D713:H713"/>
    <mergeCell ref="J713:K713"/>
    <mergeCell ref="D714:H714"/>
    <mergeCell ref="J714:K714"/>
    <mergeCell ref="E716:L716"/>
    <mergeCell ref="C718:C719"/>
    <mergeCell ref="D719:H719"/>
    <mergeCell ref="J719:K719"/>
    <mergeCell ref="D720:H720"/>
    <mergeCell ref="J720:K720"/>
    <mergeCell ref="D721:H721"/>
    <mergeCell ref="J721:K721"/>
    <mergeCell ref="D722:H722"/>
    <mergeCell ref="J722:K722"/>
    <mergeCell ref="D723:H723"/>
    <mergeCell ref="J723:K723"/>
    <mergeCell ref="C709:C710"/>
    <mergeCell ref="D710:H710"/>
    <mergeCell ref="J710:K710"/>
    <mergeCell ref="D711:H711"/>
    <mergeCell ref="J711:K711"/>
    <mergeCell ref="D696:H696"/>
    <mergeCell ref="J696:K696"/>
    <mergeCell ref="E698:L698"/>
    <mergeCell ref="C700:C701"/>
    <mergeCell ref="D701:H701"/>
    <mergeCell ref="J701:K701"/>
    <mergeCell ref="D702:H702"/>
    <mergeCell ref="D704:H704"/>
    <mergeCell ref="J704:K704"/>
    <mergeCell ref="D705:H705"/>
    <mergeCell ref="J705:K705"/>
    <mergeCell ref="E707:L707"/>
    <mergeCell ref="J702:K702"/>
    <mergeCell ref="D703:H703"/>
    <mergeCell ref="J703:K703"/>
    <mergeCell ref="C691:C692"/>
    <mergeCell ref="C531:C532"/>
    <mergeCell ref="E546:L546"/>
    <mergeCell ref="C548:C549"/>
    <mergeCell ref="D549:H549"/>
    <mergeCell ref="D684:H684"/>
    <mergeCell ref="J684:K684"/>
    <mergeCell ref="D685:H685"/>
    <mergeCell ref="J685:K685"/>
    <mergeCell ref="D686:H686"/>
    <mergeCell ref="J686:K686"/>
    <mergeCell ref="C682:C683"/>
    <mergeCell ref="D668:H668"/>
    <mergeCell ref="J668:K668"/>
    <mergeCell ref="D669:H669"/>
    <mergeCell ref="J669:K669"/>
    <mergeCell ref="E671:L671"/>
    <mergeCell ref="C673:C674"/>
    <mergeCell ref="D674:H674"/>
    <mergeCell ref="J674:K674"/>
    <mergeCell ref="D675:H675"/>
    <mergeCell ref="J675:K675"/>
    <mergeCell ref="C664:C665"/>
    <mergeCell ref="D665:H665"/>
    <mergeCell ref="C514:C515"/>
    <mergeCell ref="D515:H515"/>
    <mergeCell ref="D550:H550"/>
    <mergeCell ref="D551:G551"/>
    <mergeCell ref="C599:C600"/>
    <mergeCell ref="E580:L580"/>
    <mergeCell ref="C582:C583"/>
    <mergeCell ref="E563:L563"/>
    <mergeCell ref="C565:C566"/>
    <mergeCell ref="D566:H566"/>
    <mergeCell ref="D583:H583"/>
    <mergeCell ref="D567:H567"/>
    <mergeCell ref="D568:G568"/>
    <mergeCell ref="D569:H569"/>
    <mergeCell ref="D570:H570"/>
    <mergeCell ref="D571:H571"/>
    <mergeCell ref="D572:H572"/>
    <mergeCell ref="E573:G573"/>
    <mergeCell ref="J578:K578"/>
    <mergeCell ref="D552:H552"/>
    <mergeCell ref="J595:K595"/>
    <mergeCell ref="E539:G539"/>
    <mergeCell ref="J544:K544"/>
    <mergeCell ref="E522:G522"/>
    <mergeCell ref="J527:K527"/>
    <mergeCell ref="D585:G585"/>
    <mergeCell ref="D586:H586"/>
    <mergeCell ref="D589:H589"/>
    <mergeCell ref="E590:G590"/>
    <mergeCell ref="D554:H554"/>
    <mergeCell ref="D555:H555"/>
    <mergeCell ref="E556:G556"/>
    <mergeCell ref="J561:K561"/>
    <mergeCell ref="D553:H553"/>
    <mergeCell ref="D533:H533"/>
    <mergeCell ref="D534:G534"/>
    <mergeCell ref="D535:H535"/>
    <mergeCell ref="D536:H536"/>
    <mergeCell ref="D537:H537"/>
    <mergeCell ref="D538:H538"/>
    <mergeCell ref="J57:K57"/>
    <mergeCell ref="D80:H80"/>
    <mergeCell ref="J80:K80"/>
    <mergeCell ref="D81:H81"/>
    <mergeCell ref="J81:K81"/>
    <mergeCell ref="E76:L76"/>
    <mergeCell ref="D19:G19"/>
    <mergeCell ref="C497:C498"/>
    <mergeCell ref="C446:C447"/>
    <mergeCell ref="D447:H447"/>
    <mergeCell ref="C463:C464"/>
    <mergeCell ref="D464:H464"/>
    <mergeCell ref="C480:C481"/>
    <mergeCell ref="D481:H481"/>
    <mergeCell ref="J476:K476"/>
    <mergeCell ref="D448:H448"/>
    <mergeCell ref="D449:G449"/>
    <mergeCell ref="D450:H450"/>
    <mergeCell ref="D451:H451"/>
    <mergeCell ref="D452:H452"/>
    <mergeCell ref="D453:H453"/>
    <mergeCell ref="E454:G454"/>
    <mergeCell ref="J459:K459"/>
    <mergeCell ref="D469:H469"/>
  </mergeCells>
  <dataValidations count="13">
    <dataValidation type="list" allowBlank="1" showInputMessage="1" showErrorMessage="1" errorTitle="Invalid Year..." error="The value you entered is not valid.  Please click 'Cancel', and then select a year from the drop-down list." sqref="L8 I8" xr:uid="{00000000-0002-0000-0000-000000000000}">
      <formula1>LKP_YEAR</formula1>
    </dataValidation>
    <dataValidation type="textLength" allowBlank="1" showInputMessage="1" showErrorMessage="1" errorTitle="Too Many Characters..." error="You have entered too many characters in this text field.  The maximum number of characters allowed is 50.  Please re-enter." sqref="E14 E29 E44 E62 E69 E76 E89 E296 E305 E314 E323 E332 E341 E350 E359 E368 E377 E386 E395 E410 E617 E626 E635 E644 E653 E662 E671 E680 E689 E698 E707 E716 E106 E123 E140 E157 E174 E191 E208 E225 E242 E259 E276 E427 E444 E461 E478 E495 E512 E529 E546 E563 E580 E597" xr:uid="{00000000-0002-0000-0000-000001000000}">
      <formula1>0</formula1>
      <formula2>50</formula2>
    </dataValidation>
    <dataValidation allowBlank="1" errorTitle="Too Many Characters..." error="You have entered too many characters in this text field.  The maximum number of characters allowed is 50.  Please re-enter." sqref="E26:G26 H24:H26 E27:H27 E101:G101 H99:H101 E422:G422 H420:H422 E103:H104 E424:H425 E41:G41 H39:H41 E42:H42 E56:G56 H54:H56 E57:H57 E288:G288 H286:H288 E290:H291 E271:G271 H269:H271 E273:H274 E254:G254 H252:H254 E256:H257 E237:G237 H235:H237 E239:H240 E220:G220 H218:H220 E222:H223 E203:G203 H201:H203 E205:H206 E186:G186 H184:H186 E188:H189 E169:G169 H167:H169 E171:H172 E152:G152 H150:H152 E154:H155 E135:G135 H133:H135 E137:H138 E118:G118 H116:H118 E120:H121 E609:G609 H607:H609 E611:H612 E592:G592 H590:H592 E594:H595 E575:G575 H573:H575 E577:H578 E558:G558 H556:H558 E560:H561 E541:G541 H539:H541 E543:H544 E524:G524 H522:H524 E526:H527 E507:G507 H505:H507 E509:H510 E490:G490 H488:H490 E492:H493 E473:G473 H471:H473 E475:H476 E456:G456 H454:H456 E458:H459 E439:G439 H437:H439 E441:H442" xr:uid="{00000000-0002-0000-0000-000002000000}"/>
    <dataValidation allowBlank="1" errorTitle="Non-Numeric Entry" error="You have entered a non-numeric value in the current cell.  This is not allowed.  Please enter a number or leave the cell blank to continue." sqref="L592 I441:I442 I101 L56:L57 L103:L104 I103:I104 I422 L288 L424:L425 I424:I425 L441:L442 I26:I27 L26:L27 I41:I42 I271 L254 L290:L291 I290:I291 I254 L237 L273:L274 I273:I274 I237 L220 L256:L257 I256:I257 I220 L203 L239:L240 I239:I240 I203 L186 L222:L223 I222:I223 I186 L169 L205:L206 I205:I206 I169 L152 L188:L189 I188:I189 I152 L135 L171:L172 I171:I172 I135 L118 L154:L155 I154:I155 I118 L101 L137:L138 I137:I138 L41:L42 I56:I57 L120:L121 I120:I121 I592 L575 L611:L612 I611:I612 I575 L558 L594:L595 I594:I595 I558 L541 L577:L578 I577:I578 I541 L524 L560:L561 I560:I561 I524 L507 L543:L544 I543:I544 I507 L490 L526:L527 I526:I527 I490 L473 L509:L510 I509:I510 I473 L456 L492:L493 I492:I493 I456 L439 L475:L476 I475:I476 I439 L422 L458:L459 I458:I459 I288 L271 I609 L609" xr:uid="{00000000-0002-0000-0000-000003000000}"/>
    <dataValidation type="custom" allowBlank="1" showErrorMessage="1" errorTitle="Disallowed Entry..." error="You have either entered a non-numeric value, a value &gt; 10 digits or a number with more than two decimal places in the current cell.  This is not allowed.  Please re-enter to continue." sqref="I20:I24 L66:L67 J65 I66:I67 I73:I74 J72 L73:L74 L80:L81 J79 I80:I81 I95:I99 L416:L420 I300:I301 J299 L300:L301 I303 L303 I309:I310 J308 L309:L310 I312 L312 I318:I319 J317 L318:L319 I321 L321 I327:I328 J326 L327:L328 I330 L330 I336:I337 J335 L336:L337 I339 L339 I345:I346 J344 L345:L346 I348 L348 I354:I355 J353 L354:L355 I357 L357 I363:I364 J362 L363:L364 I366 L366 I372:I373 J371 L372:L373 I375 L375 I381:I382 J380 L381:L382 I384 L384 I390:I391 J389 L390:L391 I393 L393 I399:I400 J398 L399:L400 I402 L402 I416:I420 L20:L24 I621:I622 J620 L621:L622 I624 L624 I630:I631 J629 L630:L631 I633 L633 I639:I640 J638 L639:L640 I642 L642 I648:I649 J647 L648:L649 I651 L651 I657:I658 J656 L657:L658 I660 L660 I666:I667 J665 L666:L667 I669 L669 I675:I676 J674 L675:L676 I678 L678 I684:I685 J683 L684:L685 I687 L687 I693:I694 J692 L693:L694 I696 L696 I702:I703 J701 L702:L703 I705 L705 I711:I712 J710 L711:L712 I714 L714 I720:I721 J719 L720:L721 I723 L723 I18 L18 I414 L414 I93 L93 L95:L99 I35:I39 L35:L39 I33 L33 I50:I54 L50:L54 I48 L48 I282:I286 I280 L280 L282:L286 I265:I269 I263 L263 L265:L269 I248:I252 I246 L246 L248:L252 I231:I235 I229 L229 L231:L235 I214:I218 I212 L212 L214:L218 I197:I201 I195 L195 L197:L201 I180:I184 I178 L178 L180:L184 I163:I167 I161 L161 L163:L167 I146:I150 I144 L144 L146:L150 I129:I133 I127 L127 L129:L133 I112:I116 I110 L110 L112:L116 L603:L607 I603:I607 I601 L601 L586:L590 I586:I590 I584 L584 L569:L573 I569:I573 I567 L567 L552:L556 I552:I556 I550 L550 L535:L539 I535:I539 I533 L533 L518:L522 I518:I522 I516 L516 L501:L505 I501:I505 I499 L499 L484:L488 I484:I488 I482 L482 L467:L471 I467:I471 I465 L465 L450:L454 I450:I454 I448 L448 L433:L437 I433:I437 I431 L431" xr:uid="{00000000-0002-0000-0000-000004000000}">
      <formula1>IF(AND(ISNUMBER(I18),LEN(TRUNC(I18))&lt;11,TRUNC(I18*100)=(I18*100)),TRUE,FALSE)</formula1>
    </dataValidation>
    <dataValidation type="textLength" allowBlank="1" showErrorMessage="1" errorTitle="Too Many Characters..." error="You have entered too many characters in this text field.  The maximum number of characters allowed is 50.  Please re-enter." sqref="F3 K3 H8 K8" xr:uid="{00000000-0002-0000-0000-000005000000}">
      <formula1>0</formula1>
      <formula2>50</formula2>
    </dataValidation>
    <dataValidation errorTitle="Too Many Characters..." error="You have entered too many characters in this text field.  The maximum number of characters allowed is 50.  Please re-enter." sqref="E24:G25 E99:G100 E420:G421 E39:G40 E54:G55 E286:G287 E269:G270 E252:G253 E235:G236 E218:G219 E201:G202 E184:G185 E167:G168 E150:G151 E133:G134 E116:G117 E607:G608 E590:G591 E573:G574 E556:G557 E539:G540 E522:G523 E505:G506 E488:G489 E471:G472 E454:G455 E437:G438" xr:uid="{00000000-0002-0000-0000-000006000000}"/>
    <dataValidation allowBlank="1" errorTitle="Disallowed Entry..." error="You have either entered a non-numeric value, a value &gt; 10 digits or a number with more than two decimal places in the current cell.  This is not allowed.  Please re-enter to continue." sqref="I25 L25 I100 L100 I421 L421 I40 L40 I55 L55 I287 L287 I270 L270 I253 L253 I236 L236 I219 L219 I202 L202 I185 L185 I168 L168 I151 L151 I134 L134 I117 L117 I608 L608 I591 L591 I574 L574 I557 L557 I540 L540 I523 L523 I506 L506 I489 L489 I472 L472 I455 L455 I438 L438" xr:uid="{00000000-0002-0000-0000-000007000000}"/>
    <dataValidation type="custom" allowBlank="1" showErrorMessage="1" errorTitle="Disallowed Entry..." error="You have either entered a non-numeric value, a negative value, a value &gt; 10 digits or a number with more than two decimal places in the current cell.  This is not allowed.  Please re-enter to continue." sqref="I102 L102 I423 L423 J302:K302 J311:K311 J320:K320 J329:K329 J338:K338 J347:K347 J356:K356 J365:K365 J374:K374 J383:K383 J392:K392 J401:K401 J722:K722 J713:K713 J704:K704 J695:K695 J686:K686 J677:K677 J668:K668 J659:K659 J650:K650 J641:K641 J632:K632 J623:K623 I289 L289 I272 L272 I255 L255 I238 L238 I221 L221 I204 L204 I187 L187 I170 L170 I153 L153 I136 L136 I119 L119 I610 L610 I593 L593 I576 L576 I559 L559 I542 L542 I525 L525 I508 L508 I491 L491 I474 L474 I457 L457 I440 L440" xr:uid="{00000000-0002-0000-0000-000008000000}">
      <formula1>IF(AND(ISNUMBER(I102),I102&gt;=0,LEN(TRUNC(I102))&lt;11,TRUNC(I102*100)=(I102*100)),TRUE,FALSE)</formula1>
    </dataValidation>
    <dataValidation allowBlank="1" sqref="L15:L16 I15:I16 L30:L31 I30:I31 I63:I65 L63:L65 L70:L72 I70:I72 L77:L79 I77:I79 I90:I91 L90:L91 I45:I46 L45:L46 I297:I299 L297:L299 L302 I302 I306:I308 L306:L308 I401 I315:I317 L315:L317 L311 I311 I324:I326 L324:L326 L320 I320 I333:I335 L333:L335 L329 I329 I342:I344 L342:L344 L338 I338 I351:I353 L351:L353 L347 I347 I360:I362 L360:L362 L356 I356 I369:I371 L369:L371 L365 I365 I378:I380 L378:L380 L374 I374 I387:I389 L387:L389 L383 I383 I396:I398 L396:L398 L392 I392 L401 I411:I412 L411:L412 I618:I620 L618:L620 L623 I623 I627:I629 L627:L629 L632 I632 I636:I638 L636:L638 L641 I641 I645:I647 L645:L647 L650 I650 I654:I656 L654:L656 L659 I659 I663:I665 L663:L665 L668 I668 I672:I674 L672:L674 L677 I677 I681:I683 L681:L683 L686 I686 I690:I692 L690:L692 L695 I695 I699:I701 L699:L701 L704 I704 I708:I710 L708:L710 L713 I713 I717:I719 L717:L719 L722 I722 I107:I108 L107:L108 I124:I125 L124:L125 I141:I142 L141:L142 I158:I159 L158:L159 I175:I176 L175:L176 I192:I193 L192:L193 I209:I210 L209:L210 I226:I227 L226:L227 I243:I244 L243:L244 I260:I261 L260:L261 I277:I278 L277:L278 I428:I429 L428:L429 I445:I446 L445:L446 I462:I463 L462:L463 I479:I480 L479:L480 I496:I497 L496:L497 I513:I514 L513:L514 I530:I531 L530:L531 I547:I548 L547:L548 I564:I565 L564:L565 I581:I582 L581:L582 I598:I599 L598:L599" xr:uid="{00000000-0002-0000-0000-000009000000}"/>
    <dataValidation type="custom" allowBlank="1" showErrorMessage="1" errorTitle="Oops!" error="You have either entered a negative number or a non-numeric value.  Please re-enter the value as a positive number.  As this is a &quot;loss&quot; field, Excel will calculate it accordingly." sqref="I19 L19 I415 L415 I94 L94 I34 L34 I49 L49 I281 L281 I264 L264 I247 L247 I230 L230 I213 L213 I196 L196 I179 L179 I162 L162 I145 L145 I128 L128 I111 L111 I602 L602 I585 L585 I568 L568 I551 L551 I534 L534 I517 L517 I500 L500 I483 L483 I466 L466 I449 L449 I432 L432" xr:uid="{00000000-0002-0000-0000-00000A000000}">
      <formula1>IF(OR(NOT(ISNUMBER(I19)),I19&lt;0),FALSE,TRUE)</formula1>
    </dataValidation>
    <dataValidation type="date" operator="greaterThan" allowBlank="1" showInputMessage="1" showErrorMessage="1" errorTitle="Invalid Date:" error="Please enter a valid date." sqref="L7" xr:uid="{00000000-0002-0000-0000-00000B000000}">
      <formula1>1</formula1>
    </dataValidation>
    <dataValidation type="list" allowBlank="1" showInputMessage="1" showErrorMessage="1" sqref="I17 L17 I32 L32 I47 L47 I92 L92 I109 L109 I126 L126 I143 L143 I160 L160 I177 L177 I194 L194 I211 L211 I228 L228 I245 L245 I262 L262 I279 L279 I413 L413 I430 L430 I447 L447 I464 L464 I481 L481 I498 L498 I515 L515 I532 L532 I549 L549 I566 L566 I583 L583 I600 L600" xr:uid="{00000000-0002-0000-0000-00000D000000}">
      <formula1>LKP_MONTH</formula1>
    </dataValidation>
  </dataValidations>
  <hyperlinks>
    <hyperlink ref="D18" location="Rental!D18" tooltip="https://www.mgic.com/-/media/MGIC/seb/22-25001_rental_income_worksheet-2021.pdf#page=1&amp;view=fit" display="Rents Received:  Schedule E Line 3" xr:uid="{00000000-0004-0000-0000-000000000000}"/>
    <hyperlink ref="D20" location="Rental!D20" tooltip="https://www.mgic.com/-/media/MGIC/seb/22-25001_rental_income_worksheet-2021.pdf#page=1&amp;view=fit" display="Depreciation:  Schedule E Line 18" xr:uid="{00000000-0004-0000-0000-000001000000}"/>
    <hyperlink ref="D21" location="Rental!D21" tooltip="https://www.mgic.com/-/media/MGIC/seb/22-25001_rental_income_worksheet-2021.pdf#page=1&amp;view=fit" display="Taxes:  Schedule E Line 16" xr:uid="{00000000-0004-0000-0000-000002000000}"/>
    <hyperlink ref="D22" location="Rental!D22" tooltip="https://www.mgic.com/-/media/MGIC/seb/22-25001_rental_income_worksheet-2021.pdf#page=1&amp;view=fit" display="Mortgage Interest:  Schedule E Lines 12 &amp; 13" xr:uid="{00000000-0004-0000-0000-000003000000}"/>
    <hyperlink ref="D23" location="Rental!D23" tooltip="https://www.mgic.com/-/media/MGIC/seb/22-25001_rental_income_worksheet-2021.pdf#page=1&amp;view=fit" display="Insurance:  Schedule E Line 9" xr:uid="{00000000-0004-0000-0000-000004000000}"/>
    <hyperlink ref="D24" location="Rental!D24" tooltip="https://www.mgic.com/-/media/MGIC/seb/22-25001_rental_income_worksheet-2021.pdf#page=1&amp;view=fit" display="Other:" xr:uid="{00000000-0004-0000-0000-000005000000}"/>
    <hyperlink ref="E24" location="Rental!E24" tooltip="https://www.mgic.com/-/media/MGIC/seb/22-25001_rental_income_worksheet-2021.pdf#page=1&amp;view=fit" display="Amortization/Casualty Loss/HOA Dues, if applicable:  Schedule E Line 19" xr:uid="{00000000-0004-0000-0000-000006000000}"/>
    <hyperlink ref="D93" location="Rental!D93" tooltip="https://www.mgic.com/-/media/MGIC/seb/22-25001_rental_income_worksheet-2021.pdf#page=1&amp;view=fit" display="Rents Received:  Schedule E Line 3" xr:uid="{00000000-0004-0000-0000-000007000000}"/>
    <hyperlink ref="D95" location="Rental!D95" tooltip="https://www.mgic.com/-/media/MGIC/seb/22-25001_rental_income_worksheet-2021.pdf#page=1&amp;view=fit" display="Depreciation:  Schedule E Line 18" xr:uid="{00000000-0004-0000-0000-000008000000}"/>
    <hyperlink ref="D96" location="Rental!D96" tooltip="https://www.mgic.com/-/media/MGIC/seb/22-25001_rental_income_worksheet-2021.pdf#page=1&amp;view=fit" display="Taxes:  Schedule E Line 16" xr:uid="{00000000-0004-0000-0000-000009000000}"/>
    <hyperlink ref="D97" location="Rental!D97" tooltip="https://www.mgic.com/-/media/MGIC/seb/22-25001_rental_income_worksheet-2021.pdf#page=1&amp;view=fit" display="Mortgage Interest:  Schedule E Lines 12 &amp; 13" xr:uid="{00000000-0004-0000-0000-00000A000000}"/>
    <hyperlink ref="D98" location="Rental!D98" tooltip="https://www.mgic.com/-/media/MGIC/seb/22-25001_rental_income_worksheet-2021.pdf#page=1&amp;view=fit" display="Insurance:  Schedule E Line 9" xr:uid="{00000000-0004-0000-0000-00000B000000}"/>
    <hyperlink ref="D99" location="Rental!D99" tooltip="https://www.mgic.com/-/media/MGIC/seb/22-25001_rental_income_worksheet-2021.pdf#page=1&amp;view=fit" display="Other:" xr:uid="{00000000-0004-0000-0000-00000C000000}"/>
    <hyperlink ref="E99" location="Rental!E99" tooltip="https://www.mgic.com/-/media/MGIC/seb/22-25001_rental_income_worksheet-2021.pdf#page=1&amp;view=fit" display="Amortization/Casualty Loss/HOA Dues, if applicable:  Schedule E Line 19" xr:uid="{00000000-0004-0000-0000-00000D000000}"/>
    <hyperlink ref="D414" location="Rental!D414" tooltip="https://www.mgic.com/-/media/MGIC/seb/22-25001_rental_income_worksheet-2021.pdf#page=2&amp;view=fit" display="Gross Rents:  Form 8825 Line 2" xr:uid="{00000000-0004-0000-0000-00000E000000}"/>
    <hyperlink ref="D416" location="Rental!D416" tooltip="https://www.mgic.com/-/media/MGIC/seb/22-25001_rental_income_worksheet-2021.pdf#page=2&amp;view=fit" display="Depreciation:  Form 8825 Line 14" xr:uid="{00000000-0004-0000-0000-00000F000000}"/>
    <hyperlink ref="D417" location="Rental!D417" tooltip="https://www.mgic.com/-/media/MGIC/seb/22-25001_rental_income_worksheet-2021.pdf#page=2&amp;view=fit" display="Taxes:  Form 8825 Line 11" xr:uid="{00000000-0004-0000-0000-000010000000}"/>
    <hyperlink ref="D418" location="Rental!D418" tooltip="https://www.mgic.com/-/media/MGIC/seb/22-25001_rental_income_worksheet-2021.pdf#page=2&amp;view=fit" display="Interest:  Form 8825 Line 9" xr:uid="{00000000-0004-0000-0000-000011000000}"/>
    <hyperlink ref="D419" location="Rental!D419" tooltip="https://www.mgic.com/-/media/MGIC/seb/22-25001_rental_income_worksheet-2021.pdf#page=2&amp;view=fit" display="Insurance:  Form 8825 Line 7" xr:uid="{00000000-0004-0000-0000-000012000000}"/>
    <hyperlink ref="D420" location="Rental!D420" tooltip="https://www.mgic.com/-/media/MGIC/seb/22-25001_rental_income_worksheet-2021.pdf#page=2&amp;view=fit" display="Other:" xr:uid="{00000000-0004-0000-0000-000013000000}"/>
    <hyperlink ref="E420" location="Rental!E420" tooltip="https://www.mgic.com/-/media/MGIC/seb/22-25001_rental_income_worksheet-2021.pdf#page=2&amp;view=fit" display="Amortization/Casualty Loss/HOA Dues, if applicable:  Form 8825 Line 15" xr:uid="{00000000-0004-0000-0000-000014000000}"/>
    <hyperlink ref="D19" location="Rental!D19" tooltip="https://www.mgic.com/-/media/MGIC/seb/22-25001_rental_income_worksheet-2021.pdf#page=1&amp;view=fit" display="Total Expenses:  Schedule E Line 20" xr:uid="{00000000-0004-0000-0000-000015000000}"/>
    <hyperlink ref="D415" location="Rental!D415" tooltip="https://www.mgic.com/-/media/MGIC/seb/22-25001_rental_income_worksheet-2021.pdf#page=2&amp;view=fit" display="Total Expenses:  Form 8825 Line 16" xr:uid="{00000000-0004-0000-0000-000016000000}"/>
    <hyperlink ref="D94" location="Rental!D94" tooltip="https://www.mgic.com/-/media/MGIC/seb/22-25001_rental_income_worksheet-2021.pdf#page=1&amp;view=fit" display="Total Expenses:  Schedule E Line 20" xr:uid="{00000000-0004-0000-0000-000017000000}"/>
    <hyperlink ref="D33" location="Rental!D33" tooltip="https://www.mgic.com/-/media/MGIC/seb/22-25001_rental_income_worksheet-2021.pdf#page=1&amp;view=fit" display="Rents Received:  Schedule E Line 3" xr:uid="{00000000-0004-0000-0000-000018000000}"/>
    <hyperlink ref="D35" location="Rental!D35" tooltip="https://www.mgic.com/-/media/MGIC/seb/22-25001_rental_income_worksheet-2021.pdf#page=1&amp;view=fit" display="Depreciation:  Schedule E Line 18" xr:uid="{00000000-0004-0000-0000-000019000000}"/>
    <hyperlink ref="D36" location="Rental!D36" tooltip="https://www.mgic.com/-/media/MGIC/seb/22-25001_rental_income_worksheet-2021.pdf#page=1&amp;view=fit" display="Taxes:  Schedule E Line 16" xr:uid="{00000000-0004-0000-0000-00001A000000}"/>
    <hyperlink ref="D37" location="Rental!D37" tooltip="https://www.mgic.com/-/media/MGIC/seb/22-25001_rental_income_worksheet-2021.pdf#page=1&amp;view=fit" display="Mortgage Interest:  Schedule E Lines 12 &amp; 13" xr:uid="{00000000-0004-0000-0000-00001B000000}"/>
    <hyperlink ref="D38" location="Rental!D38" tooltip="https://www.mgic.com/-/media/MGIC/seb/22-25001_rental_income_worksheet-2021.pdf#page=1&amp;view=fit" display="Insurance:  Schedule E Line 9" xr:uid="{00000000-0004-0000-0000-00001C000000}"/>
    <hyperlink ref="D39" location="Rental!D39" tooltip="https://www.mgic.com/-/media/MGIC/seb/22-25001_rental_income_worksheet-2021.pdf#page=1&amp;view=fit" display="Other:" xr:uid="{00000000-0004-0000-0000-00001D000000}"/>
    <hyperlink ref="E39" location="Rental!E39" tooltip="https://www.mgic.com/-/media/MGIC/seb/22-25001_rental_income_worksheet-2021.pdf#page=1&amp;view=fit" display="Amortization/Casualty Loss/HOA Dues, if applicable:  Schedule E Line 19" xr:uid="{00000000-0004-0000-0000-00001E000000}"/>
    <hyperlink ref="D34" location="Rental!D34" tooltip="https://www.mgic.com/-/media/MGIC/seb/22-25001_rental_income_worksheet-2021.pdf#page=1&amp;view=fit" display="Total Expenses:  Schedule E Line 20" xr:uid="{00000000-0004-0000-0000-00001F000000}"/>
    <hyperlink ref="D48" location="Rental!D48" tooltip="https://www.mgic.com/-/media/MGIC/seb/22-25001_rental_income_worksheet-2021.pdf#page=1&amp;view=fit" display="Rents Received:  Schedule E Line 3" xr:uid="{00000000-0004-0000-0000-000020000000}"/>
    <hyperlink ref="D50" location="Rental!D50" tooltip="https://www.mgic.com/-/media/MGIC/seb/22-25001_rental_income_worksheet-2021.pdf#page=1&amp;view=fit" display="Depreciation:  Schedule E Line 18" xr:uid="{00000000-0004-0000-0000-000021000000}"/>
    <hyperlink ref="D51" location="Rental!D51" tooltip="https://www.mgic.com/-/media/MGIC/seb/22-25001_rental_income_worksheet-2021.pdf#page=1&amp;view=fit" display="Taxes:  Schedule E Line 16" xr:uid="{00000000-0004-0000-0000-000022000000}"/>
    <hyperlink ref="D52" location="Rental!D52" tooltip="https://www.mgic.com/-/media/MGIC/seb/22-25001_rental_income_worksheet-2021.pdf#page=1&amp;view=fit" display="Mortgage Interest:  Schedule E Lines 12 &amp; 13" xr:uid="{00000000-0004-0000-0000-000023000000}"/>
    <hyperlink ref="D53" location="Rental!D53" tooltip="https://www.mgic.com/-/media/MGIC/seb/22-25001_rental_income_worksheet-2021.pdf#page=1&amp;view=fit" display="Insurance:  Schedule E Line 9" xr:uid="{00000000-0004-0000-0000-000024000000}"/>
    <hyperlink ref="D54" location="Rental!D54" tooltip="https://www.mgic.com/-/media/MGIC/seb/22-25001_rental_income_worksheet-2021.pdf#page=1&amp;view=fit" display="Other:" xr:uid="{00000000-0004-0000-0000-000025000000}"/>
    <hyperlink ref="E54" location="Rental!E54" tooltip="https://www.mgic.com/-/media/MGIC/seb/22-25001_rental_income_worksheet-2021.pdf#page=1&amp;view=fit" display="Amortization/Casualty Loss/HOA Dues, if applicable:  Schedule E Line 19" xr:uid="{00000000-0004-0000-0000-000026000000}"/>
    <hyperlink ref="D49" location="Rental!D49" tooltip="https://www.mgic.com/-/media/MGIC/seb/22-25001_rental_income_worksheet-2021.pdf#page=1&amp;view=fit" display="Total Expenses:  Schedule E Line 20" xr:uid="{00000000-0004-0000-0000-000027000000}"/>
    <hyperlink ref="D280" location="Rental!D280" tooltip="https://www.mgic.com/-/media/MGIC/seb/22-25001_rental_income_worksheet-2021.pdf#page=1&amp;view=fit" display="Rents Received:  Schedule E Line 3" xr:uid="{00000000-0004-0000-0000-000028000000}"/>
    <hyperlink ref="D282" location="Rental!D282" tooltip="https://www.mgic.com/-/media/MGIC/seb/22-25001_rental_income_worksheet-2021.pdf#page=1&amp;view=fit" display="Depreciation:  Schedule E Line 18" xr:uid="{00000000-0004-0000-0000-000029000000}"/>
    <hyperlink ref="D283" location="Rental!D283" tooltip="https://www.mgic.com/-/media/MGIC/seb/22-25001_rental_income_worksheet-2021.pdf#page=1&amp;view=fit" display="Taxes:  Schedule E Line 16" xr:uid="{00000000-0004-0000-0000-00002A000000}"/>
    <hyperlink ref="D284" location="Rental!D284" tooltip="https://www.mgic.com/-/media/MGIC/seb/22-25001_rental_income_worksheet-2021.pdf#page=1&amp;view=fit" display="Mortgage Interest:  Schedule E Lines 12 &amp; 13" xr:uid="{00000000-0004-0000-0000-00002B000000}"/>
    <hyperlink ref="D285" location="Rental!D285" tooltip="https://www.mgic.com/-/media/MGIC/seb/22-25001_rental_income_worksheet-2021.pdf#page=1&amp;view=fit" display="Insurance:  Schedule E Line 9" xr:uid="{00000000-0004-0000-0000-00002C000000}"/>
    <hyperlink ref="D286" location="Rental!D286" tooltip="https://www.mgic.com/-/media/MGIC/seb/22-25001_rental_income_worksheet-2021.pdf#page=1&amp;view=fit" display="Other:" xr:uid="{00000000-0004-0000-0000-00002D000000}"/>
    <hyperlink ref="E286" location="Rental!E286" tooltip="https://www.mgic.com/-/media/MGIC/seb/22-25001_rental_income_worksheet-2021.pdf#page=1&amp;view=fit" display="Amortization/Casualty Loss/HOA Dues, if applicable:  Schedule E Line 19" xr:uid="{00000000-0004-0000-0000-00002E000000}"/>
    <hyperlink ref="D281" location="Rental!D281" tooltip="https://www.mgic.com/-/media/MGIC/seb/22-25001_rental_income_worksheet-2021.pdf#page=1&amp;view=fit" display="Total Expenses:  Schedule E Line 20" xr:uid="{00000000-0004-0000-0000-00002F000000}"/>
    <hyperlink ref="D263" location="Rental!D263" tooltip="https://www.mgic.com/-/media/MGIC/seb/22-25001_rental_income_worksheet-2021.pdf#page=1&amp;view=fit" display="Rents Received:  Schedule E Line 3" xr:uid="{00000000-0004-0000-0000-000030000000}"/>
    <hyperlink ref="D265" location="Rental!D265" tooltip="https://www.mgic.com/-/media/MGIC/seb/22-25001_rental_income_worksheet-2021.pdf#page=1&amp;view=fit" display="Depreciation:  Schedule E Line 18" xr:uid="{00000000-0004-0000-0000-000031000000}"/>
    <hyperlink ref="D266" location="Rental!D266" tooltip="https://www.mgic.com/-/media/MGIC/seb/22-25001_rental_income_worksheet-2021.pdf#page=1&amp;view=fit" display="Taxes:  Schedule E Line 16" xr:uid="{00000000-0004-0000-0000-000032000000}"/>
    <hyperlink ref="D267" location="Rental!D267" tooltip="https://www.mgic.com/-/media/MGIC/seb/22-25001_rental_income_worksheet-2021.pdf#page=1&amp;view=fit" display="Mortgage Interest:  Schedule E Lines 12 &amp; 13" xr:uid="{00000000-0004-0000-0000-000033000000}"/>
    <hyperlink ref="D268" location="Rental!D268" tooltip="https://www.mgic.com/-/media/MGIC/seb/22-25001_rental_income_worksheet-2021.pdf#page=1&amp;view=fit" display="Insurance:  Schedule E Line 9" xr:uid="{00000000-0004-0000-0000-000034000000}"/>
    <hyperlink ref="D269" location="Rental!D269" tooltip="https://www.mgic.com/-/media/MGIC/seb/22-25001_rental_income_worksheet-2021.pdf#page=1&amp;view=fit" display="Other:" xr:uid="{00000000-0004-0000-0000-000035000000}"/>
    <hyperlink ref="E269" location="Rental!E269" tooltip="https://www.mgic.com/-/media/MGIC/seb/22-25001_rental_income_worksheet-2021.pdf#page=1&amp;view=fit" display="Amortization/Casualty Loss/HOA Dues, if applicable:  Schedule E Line 19" xr:uid="{00000000-0004-0000-0000-000036000000}"/>
    <hyperlink ref="D264" location="Rental!D264" tooltip="https://www.mgic.com/-/media/MGIC/seb/22-25001_rental_income_worksheet-2021.pdf#page=1&amp;view=fit" display="Total Expenses:  Schedule E Line 20" xr:uid="{00000000-0004-0000-0000-000037000000}"/>
    <hyperlink ref="D247" location="Rental!D247" tooltip="https://www.mgic.com/-/media/MGIC/seb/22-25001_rental_income_worksheet-2021.pdf#page=1&amp;view=fit" display="Total Expenses:  Schedule E Line 20" xr:uid="{00000000-0004-0000-0000-000038000000}"/>
    <hyperlink ref="E252" location="Rental!E252" tooltip="https://www.mgic.com/-/media/MGIC/seb/22-25001_rental_income_worksheet-2021.pdf#page=1&amp;view=fit" display="Amortization/Casualty Loss/HOA Dues, if applicable:  Schedule E Line 19" xr:uid="{00000000-0004-0000-0000-000039000000}"/>
    <hyperlink ref="D252" location="Rental!D252" tooltip="https://www.mgic.com/-/media/MGIC/seb/22-25001_rental_income_worksheet-2021.pdf#page=1&amp;view=fit" display="Other:" xr:uid="{00000000-0004-0000-0000-00003A000000}"/>
    <hyperlink ref="D251" location="Rental!D251" tooltip="https://www.mgic.com/-/media/MGIC/seb/22-25001_rental_income_worksheet-2021.pdf#page=1&amp;view=fit" display="Insurance:  Schedule E Line 9" xr:uid="{00000000-0004-0000-0000-00003B000000}"/>
    <hyperlink ref="D250" location="Rental!D250" tooltip="https://www.mgic.com/-/media/MGIC/seb/22-25001_rental_income_worksheet-2021.pdf#page=1&amp;view=fit" display="Mortgage Interest:  Schedule E Lines 12 &amp; 13" xr:uid="{00000000-0004-0000-0000-00003C000000}"/>
    <hyperlink ref="D249" location="Rental!D249" tooltip="https://www.mgic.com/-/media/MGIC/seb/22-25001_rental_income_worksheet-2021.pdf#page=1&amp;view=fit" display="Taxes:  Schedule E Line 16" xr:uid="{00000000-0004-0000-0000-00003D000000}"/>
    <hyperlink ref="D248" location="Rental!D248" tooltip="https://www.mgic.com/-/media/MGIC/seb/22-25001_rental_income_worksheet-2021.pdf#page=1&amp;view=fit" display="Depreciation:  Schedule E Line 18" xr:uid="{00000000-0004-0000-0000-00003E000000}"/>
    <hyperlink ref="D246" location="Rental!D246" tooltip="https://www.mgic.com/-/media/MGIC/seb/22-25001_rental_income_worksheet-2021.pdf#page=1&amp;view=fit" display="Rents Received:  Schedule E Line 3" xr:uid="{00000000-0004-0000-0000-00003F000000}"/>
    <hyperlink ref="D230" location="Rental!D230" tooltip="https://www.mgic.com/-/media/MGIC/seb/22-25001_rental_income_worksheet-2021.pdf#page=1&amp;view=fit" display="Total Expenses:  Schedule E Line 20" xr:uid="{00000000-0004-0000-0000-000040000000}"/>
    <hyperlink ref="E235" location="Rental!E235" tooltip="https://www.mgic.com/-/media/MGIC/seb/22-25001_rental_income_worksheet-2021.pdf#page=1&amp;view=fit" display="Amortization/Casualty Loss/HOA Dues, if applicable:  Schedule E Line 19" xr:uid="{00000000-0004-0000-0000-000041000000}"/>
    <hyperlink ref="D235" location="Rental!D235" tooltip="https://www.mgic.com/-/media/MGIC/seb/22-25001_rental_income_worksheet-2021.pdf#page=1&amp;view=fit" display="Other:" xr:uid="{00000000-0004-0000-0000-000042000000}"/>
    <hyperlink ref="D234" location="Rental!D234" tooltip="https://www.mgic.com/-/media/MGIC/seb/22-25001_rental_income_worksheet-2021.pdf#page=1&amp;view=fit" display="Insurance:  Schedule E Line 9" xr:uid="{00000000-0004-0000-0000-000043000000}"/>
    <hyperlink ref="D233" location="Rental!D233" tooltip="https://www.mgic.com/-/media/MGIC/seb/22-25001_rental_income_worksheet-2021.pdf#page=1&amp;view=fit" display="Mortgage Interest:  Schedule E Lines 12 &amp; 13" xr:uid="{00000000-0004-0000-0000-000044000000}"/>
    <hyperlink ref="D232" location="Rental!D232" tooltip="https://www.mgic.com/-/media/MGIC/seb/22-25001_rental_income_worksheet-2021.pdf#page=1&amp;view=fit" display="Taxes:  Schedule E Line 16" xr:uid="{00000000-0004-0000-0000-000045000000}"/>
    <hyperlink ref="D231" location="Rental!D231" tooltip="https://www.mgic.com/-/media/MGIC/seb/22-25001_rental_income_worksheet-2021.pdf#page=1&amp;view=fit" display="Depreciation:  Schedule E Line 18" xr:uid="{00000000-0004-0000-0000-000046000000}"/>
    <hyperlink ref="D229" location="Rental!D229" tooltip="https://www.mgic.com/-/media/MGIC/seb/22-25001_rental_income_worksheet-2021.pdf#page=1&amp;view=fit" display="Rents Received:  Schedule E Line 3" xr:uid="{00000000-0004-0000-0000-000047000000}"/>
    <hyperlink ref="D213" location="Rental!D213" tooltip="https://www.mgic.com/-/media/MGIC/seb/22-25001_rental_income_worksheet-2021.pdf#page=1&amp;view=fit" display="Total Expenses:  Schedule E Line 20" xr:uid="{00000000-0004-0000-0000-000048000000}"/>
    <hyperlink ref="E218" location="Rental!E218" tooltip="https://www.mgic.com/-/media/MGIC/seb/22-25001_rental_income_worksheet-2021.pdf#page=1&amp;view=fit" display="Amortization/Casualty Loss/HOA Dues, if applicable:  Schedule E Line 19" xr:uid="{00000000-0004-0000-0000-000049000000}"/>
    <hyperlink ref="D218" location="Rental!D218" tooltip="https://www.mgic.com/-/media/MGIC/seb/22-25001_rental_income_worksheet-2021.pdf#page=1&amp;view=fit" display="Other:" xr:uid="{00000000-0004-0000-0000-00004A000000}"/>
    <hyperlink ref="D217" location="Rental!D217" tooltip="https://www.mgic.com/-/media/MGIC/seb/22-25001_rental_income_worksheet-2021.pdf#page=1&amp;view=fit" display="Insurance:  Schedule E Line 9" xr:uid="{00000000-0004-0000-0000-00004B000000}"/>
    <hyperlink ref="D216" location="Rental!D216" tooltip="https://www.mgic.com/-/media/MGIC/seb/22-25001_rental_income_worksheet-2021.pdf#page=1&amp;view=fit" display="Mortgage Interest:  Schedule E Lines 12 &amp; 13" xr:uid="{00000000-0004-0000-0000-00004C000000}"/>
    <hyperlink ref="D215" location="Rental!D215" tooltip="https://www.mgic.com/-/media/MGIC/seb/22-25001_rental_income_worksheet-2021.pdf#page=1&amp;view=fit" display="Taxes:  Schedule E Line 16" xr:uid="{00000000-0004-0000-0000-00004D000000}"/>
    <hyperlink ref="D214" location="Rental!D214" tooltip="https://www.mgic.com/-/media/MGIC/seb/22-25001_rental_income_worksheet-2021.pdf#page=1&amp;view=fit" display="Depreciation:  Schedule E Line 18" xr:uid="{00000000-0004-0000-0000-00004E000000}"/>
    <hyperlink ref="D212" location="Rental!D212" tooltip="https://www.mgic.com/-/media/MGIC/seb/22-25001_rental_income_worksheet-2021.pdf#page=1&amp;view=fit" display="Rents Received:  Schedule E Line 3" xr:uid="{00000000-0004-0000-0000-00004F000000}"/>
    <hyperlink ref="D196" location="Rental!D196" tooltip="https://www.mgic.com/-/media/MGIC/seb/22-25001_rental_income_worksheet-2021.pdf#page=1&amp;view=fit" display="Total Expenses:  Schedule E Line 20" xr:uid="{00000000-0004-0000-0000-000050000000}"/>
    <hyperlink ref="E201" location="Rental!E201" tooltip="https://www.mgic.com/-/media/MGIC/seb/22-25001_rental_income_worksheet-2021.pdf#page=1&amp;view=fit" display="Amortization/Casualty Loss/HOA Dues, if applicable:  Schedule E Line 19" xr:uid="{00000000-0004-0000-0000-000051000000}"/>
    <hyperlink ref="D201" location="Rental!D201" tooltip="https://www.mgic.com/-/media/MGIC/seb/22-25001_rental_income_worksheet-2021.pdf#page=1&amp;view=fit" display="Other:" xr:uid="{00000000-0004-0000-0000-000052000000}"/>
    <hyperlink ref="D200" location="Rental!D200" tooltip="https://www.mgic.com/-/media/MGIC/seb/22-25001_rental_income_worksheet-2021.pdf#page=1&amp;view=fit" display="Insurance:  Schedule E Line 9" xr:uid="{00000000-0004-0000-0000-000053000000}"/>
    <hyperlink ref="D199" location="Rental!D199" tooltip="https://www.mgic.com/-/media/MGIC/seb/22-25001_rental_income_worksheet-2021.pdf#page=1&amp;view=fit" display="Mortgage Interest:  Schedule E Lines 12 &amp; 13" xr:uid="{00000000-0004-0000-0000-000054000000}"/>
    <hyperlink ref="D198" location="Rental!D198" tooltip="https://www.mgic.com/-/media/MGIC/seb/22-25001_rental_income_worksheet-2021.pdf#page=1&amp;view=fit" display="Taxes:  Schedule E Line 16" xr:uid="{00000000-0004-0000-0000-000055000000}"/>
    <hyperlink ref="D197" location="Rental!D197" tooltip="https://www.mgic.com/-/media/MGIC/seb/22-25001_rental_income_worksheet-2021.pdf#page=1&amp;view=fit" display="Depreciation:  Schedule E Line 18" xr:uid="{00000000-0004-0000-0000-000056000000}"/>
    <hyperlink ref="D195" location="Rental!D195" tooltip="https://www.mgic.com/-/media/MGIC/seb/22-25001_rental_income_worksheet-2021.pdf#page=1&amp;view=fit" display="Rents Received:  Schedule E Line 3" xr:uid="{00000000-0004-0000-0000-000057000000}"/>
    <hyperlink ref="D179" location="Rental!D179" tooltip="https://www.mgic.com/-/media/MGIC/seb/22-25001_rental_income_worksheet-2021.pdf#page=1&amp;view=fit" display="Total Expenses:  Schedule E Line 20" xr:uid="{00000000-0004-0000-0000-000058000000}"/>
    <hyperlink ref="E184" location="Rental!E184" tooltip="https://www.mgic.com/-/media/MGIC/seb/22-25001_rental_income_worksheet-2021.pdf#page=1&amp;view=fit" display="Amortization/Casualty Loss/HOA Dues, if applicable:  Schedule E Line 19" xr:uid="{00000000-0004-0000-0000-000059000000}"/>
    <hyperlink ref="D184" location="Rental!D184" tooltip="https://www.mgic.com/-/media/MGIC/seb/22-25001_rental_income_worksheet-2021.pdf#page=1&amp;view=fit" display="Other:" xr:uid="{00000000-0004-0000-0000-00005A000000}"/>
    <hyperlink ref="D183" location="Rental!D183" tooltip="https://www.mgic.com/-/media/MGIC/seb/22-25001_rental_income_worksheet-2021.pdf#page=1&amp;view=fit" display="Insurance:  Schedule E Line 9" xr:uid="{00000000-0004-0000-0000-00005B000000}"/>
    <hyperlink ref="D182" location="Rental!D182" tooltip="https://www.mgic.com/-/media/MGIC/seb/22-25001_rental_income_worksheet-2021.pdf#page=1&amp;view=fit" display="Mortgage Interest:  Schedule E Lines 12 &amp; 13" xr:uid="{00000000-0004-0000-0000-00005C000000}"/>
    <hyperlink ref="D181" location="Rental!D181" tooltip="https://www.mgic.com/-/media/MGIC/seb/22-25001_rental_income_worksheet-2021.pdf#page=1&amp;view=fit" display="Taxes:  Schedule E Line 16" xr:uid="{00000000-0004-0000-0000-00005D000000}"/>
    <hyperlink ref="D180" location="Rental!D180" tooltip="https://www.mgic.com/-/media/MGIC/seb/22-25001_rental_income_worksheet-2021.pdf#page=1&amp;view=fit" display="Depreciation:  Schedule E Line 18" xr:uid="{00000000-0004-0000-0000-00005E000000}"/>
    <hyperlink ref="D178" location="Rental!D178" tooltip="https://www.mgic.com/-/media/MGIC/seb/22-25001_rental_income_worksheet-2021.pdf#page=1&amp;view=fit" display="Rents Received:  Schedule E Line 3" xr:uid="{00000000-0004-0000-0000-00005F000000}"/>
    <hyperlink ref="D162" location="Rental!D162" tooltip="https://www.mgic.com/-/media/MGIC/seb/22-25001_rental_income_worksheet-2021.pdf#page=1&amp;view=fit" display="Total Expenses:  Schedule E Line 20" xr:uid="{00000000-0004-0000-0000-000060000000}"/>
    <hyperlink ref="E167" location="Rental!E167" tooltip="https://www.mgic.com/-/media/MGIC/seb/22-25001_rental_income_worksheet-2021.pdf#page=1&amp;view=fit" display="Amortization/Casualty Loss/HOA Dues, if applicable:  Schedule E Line 19" xr:uid="{00000000-0004-0000-0000-000061000000}"/>
    <hyperlink ref="D167" location="Rental!D167" tooltip="https://www.mgic.com/-/media/MGIC/seb/22-25001_rental_income_worksheet-2021.pdf#page=1&amp;view=fit" display="Other:" xr:uid="{00000000-0004-0000-0000-000062000000}"/>
    <hyperlink ref="D166" location="Rental!D166" tooltip="https://www.mgic.com/-/media/MGIC/seb/22-25001_rental_income_worksheet-2021.pdf#page=1&amp;view=fit" display="Insurance:  Schedule E Line 9" xr:uid="{00000000-0004-0000-0000-000063000000}"/>
    <hyperlink ref="D165" location="Rental!D165" tooltip="https://www.mgic.com/-/media/MGIC/seb/22-25001_rental_income_worksheet-2021.pdf#page=1&amp;view=fit" display="Mortgage Interest:  Schedule E Lines 12 &amp; 13" xr:uid="{00000000-0004-0000-0000-000064000000}"/>
    <hyperlink ref="D164" location="Rental!D164" tooltip="https://www.mgic.com/-/media/MGIC/seb/22-25001_rental_income_worksheet-2021.pdf#page=1&amp;view=fit" display="Taxes:  Schedule E Line 16" xr:uid="{00000000-0004-0000-0000-000065000000}"/>
    <hyperlink ref="D163" location="Rental!D163" tooltip="https://www.mgic.com/-/media/MGIC/seb/22-25001_rental_income_worksheet-2021.pdf#page=1&amp;view=fit" display="Depreciation:  Schedule E Line 18" xr:uid="{00000000-0004-0000-0000-000066000000}"/>
    <hyperlink ref="D161" location="Rental!D161" tooltip="https://www.mgic.com/-/media/MGIC/seb/22-25001_rental_income_worksheet-2021.pdf#page=1&amp;view=fit" display="Rents Received:  Schedule E Line 3" xr:uid="{00000000-0004-0000-0000-000067000000}"/>
    <hyperlink ref="D145" location="Rental!D145" tooltip="https://www.mgic.com/-/media/MGIC/seb/22-25001_rental_income_worksheet-2021.pdf#page=1&amp;view=fit" display="Total Expenses:  Schedule E Line 20" xr:uid="{00000000-0004-0000-0000-000068000000}"/>
    <hyperlink ref="E150" location="Rental!E150" tooltip="https://www.mgic.com/-/media/MGIC/seb/22-25001_rental_income_worksheet-2021.pdf#page=1&amp;view=fit" display="Amortization/Casualty Loss/HOA Dues, if applicable:  Schedule E Line 19" xr:uid="{00000000-0004-0000-0000-000069000000}"/>
    <hyperlink ref="D150" location="Rental!D150" tooltip="https://www.mgic.com/-/media/MGIC/seb/22-25001_rental_income_worksheet-2021.pdf#page=1&amp;view=fit" display="Other:" xr:uid="{00000000-0004-0000-0000-00006A000000}"/>
    <hyperlink ref="D149" location="Rental!D149" tooltip="https://www.mgic.com/-/media/MGIC/seb/22-25001_rental_income_worksheet-2021.pdf#page=1&amp;view=fit" display="Insurance:  Schedule E Line 9" xr:uid="{00000000-0004-0000-0000-00006B000000}"/>
    <hyperlink ref="D148" location="Rental!D148" tooltip="https://www.mgic.com/-/media/MGIC/seb/22-25001_rental_income_worksheet-2021.pdf#page=1&amp;view=fit" display="Mortgage Interest:  Schedule E Lines 12 &amp; 13" xr:uid="{00000000-0004-0000-0000-00006C000000}"/>
    <hyperlink ref="D147" location="Rental!D147" tooltip="https://www.mgic.com/-/media/MGIC/seb/22-25001_rental_income_worksheet-2021.pdf#page=1&amp;view=fit" display="Taxes:  Schedule E Line 16" xr:uid="{00000000-0004-0000-0000-00006D000000}"/>
    <hyperlink ref="D146" location="Rental!D146" tooltip="https://www.mgic.com/-/media/MGIC/seb/22-25001_rental_income_worksheet-2021.pdf#page=1&amp;view=fit" display="Depreciation:  Schedule E Line 18" xr:uid="{00000000-0004-0000-0000-00006E000000}"/>
    <hyperlink ref="D144" location="Rental!D144" tooltip="https://www.mgic.com/-/media/MGIC/seb/22-25001_rental_income_worksheet-2021.pdf#page=1&amp;view=fit" display="Rents Received:  Schedule E Line 3" xr:uid="{00000000-0004-0000-0000-00006F000000}"/>
    <hyperlink ref="D128" location="Rental!D128" tooltip="https://www.mgic.com/-/media/MGIC/seb/22-25001_rental_income_worksheet-2021.pdf#page=1&amp;view=fit" display="Total Expenses:  Schedule E Line 20" xr:uid="{00000000-0004-0000-0000-000070000000}"/>
    <hyperlink ref="E133" location="Rental!E133" tooltip="https://www.mgic.com/-/media/MGIC/seb/22-25001_rental_income_worksheet-2021.pdf#page=1&amp;view=fit" display="Amortization/Casualty Loss/HOA Dues, if applicable:  Schedule E Line 19" xr:uid="{00000000-0004-0000-0000-000071000000}"/>
    <hyperlink ref="D133" location="Rental!D133" tooltip="https://www.mgic.com/-/media/MGIC/seb/22-25001_rental_income_worksheet-2021.pdf#page=1&amp;view=fit" display="Other:" xr:uid="{00000000-0004-0000-0000-000072000000}"/>
    <hyperlink ref="D132" location="Rental!D132" tooltip="https://www.mgic.com/-/media/MGIC/seb/22-25001_rental_income_worksheet-2021.pdf#page=1&amp;view=fit" display="Insurance:  Schedule E Line 9" xr:uid="{00000000-0004-0000-0000-000073000000}"/>
    <hyperlink ref="D131" location="Rental!D131" tooltip="https://www.mgic.com/-/media/MGIC/seb/22-25001_rental_income_worksheet-2021.pdf#page=1&amp;view=fit" display="Mortgage Interest:  Schedule E Lines 12 &amp; 13" xr:uid="{00000000-0004-0000-0000-000074000000}"/>
    <hyperlink ref="D130" location="Rental!D130" tooltip="https://www.mgic.com/-/media/MGIC/seb/22-25001_rental_income_worksheet-2021.pdf#page=1&amp;view=fit" display="Taxes:  Schedule E Line 16" xr:uid="{00000000-0004-0000-0000-000075000000}"/>
    <hyperlink ref="D129" location="Rental!D129" tooltip="https://www.mgic.com/-/media/MGIC/seb/22-25001_rental_income_worksheet-2021.pdf#page=1&amp;view=fit" display="Depreciation:  Schedule E Line 18" xr:uid="{00000000-0004-0000-0000-000076000000}"/>
    <hyperlink ref="D127" location="Rental!D127" tooltip="https://www.mgic.com/-/media/MGIC/seb/22-25001_rental_income_worksheet-2021.pdf#page=1&amp;view=fit" display="Rents Received:  Schedule E Line 3" xr:uid="{00000000-0004-0000-0000-000077000000}"/>
    <hyperlink ref="D111" location="Rental!D111" tooltip="https://www.mgic.com/-/media/MGIC/seb/22-25001_rental_income_worksheet-2021.pdf#page=1&amp;view=fit" display="Total Expenses:  Schedule E Line 20" xr:uid="{00000000-0004-0000-0000-000078000000}"/>
    <hyperlink ref="E116" location="Rental!E116" tooltip="https://www.mgic.com/-/media/MGIC/seb/22-25001_rental_income_worksheet-2021.pdf#page=1&amp;view=fit" display="Amortization/Casualty Loss/HOA Dues, if applicable:  Schedule E Line 19" xr:uid="{00000000-0004-0000-0000-000079000000}"/>
    <hyperlink ref="D116" location="Rental!D116" tooltip="https://www.mgic.com/-/media/MGIC/seb/22-25001_rental_income_worksheet-2021.pdf#page=1&amp;view=fit" display="Other:" xr:uid="{00000000-0004-0000-0000-00007A000000}"/>
    <hyperlink ref="D115" location="Rental!D115" tooltip="https://www.mgic.com/-/media/MGIC/seb/22-25001_rental_income_worksheet-2021.pdf#page=1&amp;view=fit" display="Insurance:  Schedule E Line 9" xr:uid="{00000000-0004-0000-0000-00007B000000}"/>
    <hyperlink ref="D114" location="Rental!D114" tooltip="https://www.mgic.com/-/media/MGIC/seb/22-25001_rental_income_worksheet-2021.pdf#page=1&amp;view=fit" display="Mortgage Interest:  Schedule E Lines 12 &amp; 13" xr:uid="{00000000-0004-0000-0000-00007C000000}"/>
    <hyperlink ref="D113" location="Rental!D113" tooltip="https://www.mgic.com/-/media/MGIC/seb/22-25001_rental_income_worksheet-2021.pdf#page=1&amp;view=fit" display="Taxes:  Schedule E Line 16" xr:uid="{00000000-0004-0000-0000-00007D000000}"/>
    <hyperlink ref="D112" location="Rental!D112" tooltip="https://www.mgic.com/-/media/MGIC/seb/22-25001_rental_income_worksheet-2021.pdf#page=1&amp;view=fit" display="Depreciation:  Schedule E Line 18" xr:uid="{00000000-0004-0000-0000-00007E000000}"/>
    <hyperlink ref="D110" location="Rental!D110" tooltip="https://www.mgic.com/-/media/MGIC/seb/22-25001_rental_income_worksheet-2021.pdf#page=1&amp;view=fit" display="Rents Received:  Schedule E Line 3" xr:uid="{00000000-0004-0000-0000-00007F000000}"/>
    <hyperlink ref="D601" location="Rental!D601" tooltip="https://www.mgic.com/-/media/MGIC/seb/22-25001_rental_income_worksheet-2021.pdf#page=2&amp;view=fit" display="Gross Rents:  Form 8825 Line 2" xr:uid="{00000000-0004-0000-0000-000080000000}"/>
    <hyperlink ref="D603" location="Rental!D603" tooltip="https://www.mgic.com/-/media/MGIC/seb/22-25001_rental_income_worksheet-2021.pdf#page=2&amp;view=fit" display="Depreciation:  Form 8825 Line 14" xr:uid="{00000000-0004-0000-0000-000081000000}"/>
    <hyperlink ref="D604" location="Rental!D604" tooltip="https://www.mgic.com/-/media/MGIC/seb/22-25001_rental_income_worksheet-2021.pdf#page=2&amp;view=fit" display="Taxes:  Form 8825 Line 11" xr:uid="{00000000-0004-0000-0000-000082000000}"/>
    <hyperlink ref="D605" location="Rental!D605" tooltip="https://www.mgic.com/-/media/MGIC/seb/22-25001_rental_income_worksheet-2021.pdf#page=2&amp;view=fit" display="Interest:  Form 8825 Line 9" xr:uid="{00000000-0004-0000-0000-000083000000}"/>
    <hyperlink ref="D606" location="Rental!D606" tooltip="https://www.mgic.com/-/media/MGIC/seb/22-25001_rental_income_worksheet-2021.pdf#page=2&amp;view=fit" display="Insurance:  Form 8825 Line 7" xr:uid="{00000000-0004-0000-0000-000084000000}"/>
    <hyperlink ref="D607" location="Rental!D607" tooltip="https://www.mgic.com/-/media/MGIC/seb/22-25001_rental_income_worksheet-2021.pdf#page=2&amp;view=fit" display="Other:" xr:uid="{00000000-0004-0000-0000-000085000000}"/>
    <hyperlink ref="E607" location="Rental!E607" tooltip="https://www.mgic.com/-/media/MGIC/seb/22-25001_rental_income_worksheet-2021.pdf#page=2&amp;view=fit" display="Amortization/Casualty Loss/HOA Dues, if applicable:  Form 8825 Line 15" xr:uid="{00000000-0004-0000-0000-000086000000}"/>
    <hyperlink ref="D602" location="Rental!D602" tooltip="https://www.mgic.com/-/media/MGIC/seb/22-25001_rental_income_worksheet-2021.pdf#page=2&amp;view=fit" display="Total Expenses:  Form 8825 Line 16" xr:uid="{00000000-0004-0000-0000-000087000000}"/>
    <hyperlink ref="D584" location="Rental!D584" tooltip="https://www.mgic.com/-/media/MGIC/seb/22-25001_rental_income_worksheet-2021.pdf#page=2&amp;view=fit" display="Gross Rents:  Form 8825 Line 2" xr:uid="{00000000-0004-0000-0000-000088000000}"/>
    <hyperlink ref="D586" location="Rental!D586" tooltip="https://www.mgic.com/-/media/MGIC/seb/22-25001_rental_income_worksheet-2021.pdf#page=2&amp;view=fit" display="Depreciation:  Form 8825 Line 14" xr:uid="{00000000-0004-0000-0000-000089000000}"/>
    <hyperlink ref="D587" location="Rental!D587" tooltip="https://www.mgic.com/-/media/MGIC/seb/22-25001_rental_income_worksheet-2021.pdf#page=2&amp;view=fit" display="Taxes:  Form 8825 Line 11" xr:uid="{00000000-0004-0000-0000-00008A000000}"/>
    <hyperlink ref="D588" location="Rental!D588" tooltip="https://www.mgic.com/-/media/MGIC/seb/22-25001_rental_income_worksheet-2021.pdf#page=2&amp;view=fit" display="Interest:  Form 8825 Line 9" xr:uid="{00000000-0004-0000-0000-00008B000000}"/>
    <hyperlink ref="D589" location="Rental!D589" tooltip="https://www.mgic.com/-/media/MGIC/seb/22-25001_rental_income_worksheet-2021.pdf#page=2&amp;view=fit" display="Insurance:  Form 8825 Line 7" xr:uid="{00000000-0004-0000-0000-00008C000000}"/>
    <hyperlink ref="D590" location="Rental!D590" tooltip="https://www.mgic.com/-/media/MGIC/seb/22-25001_rental_income_worksheet-2021.pdf#page=2&amp;view=fit" display="Other:" xr:uid="{00000000-0004-0000-0000-00008D000000}"/>
    <hyperlink ref="E590" location="Rental!E590" tooltip="https://www.mgic.com/-/media/MGIC/seb/22-25001_rental_income_worksheet-2021.pdf#page=2&amp;view=fit" display="Amortization/Casualty Loss/HOA Dues, if applicable:  Form 8825 Line 15" xr:uid="{00000000-0004-0000-0000-00008E000000}"/>
    <hyperlink ref="D585" location="Rental!D585" tooltip="https://www.mgic.com/-/media/MGIC/seb/22-25001_rental_income_worksheet-2021.pdf#page=2&amp;view=fit" display="Total Expenses:  Form 8825 Line 16" xr:uid="{00000000-0004-0000-0000-00008F000000}"/>
    <hyperlink ref="D567" location="Rental!D567" tooltip="https://www.mgic.com/-/media/MGIC/seb/22-25001_rental_income_worksheet-2021.pdf#page=2&amp;view=fit" display="Gross Rents:  Form 8825 Line 2" xr:uid="{00000000-0004-0000-0000-000090000000}"/>
    <hyperlink ref="D569" location="Rental!D569" tooltip="https://www.mgic.com/-/media/MGIC/seb/22-25001_rental_income_worksheet-2021.pdf#page=2&amp;view=fit" display="Depreciation:  Form 8825 Line 14" xr:uid="{00000000-0004-0000-0000-000091000000}"/>
    <hyperlink ref="D570" location="Rental!D570" tooltip="https://www.mgic.com/-/media/MGIC/seb/22-25001_rental_income_worksheet-2021.pdf#page=2&amp;view=fit" display="Taxes:  Form 8825 Line 11" xr:uid="{00000000-0004-0000-0000-000092000000}"/>
    <hyperlink ref="D571" location="Rental!D571" tooltip="https://www.mgic.com/-/media/MGIC/seb/22-25001_rental_income_worksheet-2021.pdf#page=2&amp;view=fit" display="Interest:  Form 8825 Line 9" xr:uid="{00000000-0004-0000-0000-000093000000}"/>
    <hyperlink ref="D572" location="Rental!D572" tooltip="https://www.mgic.com/-/media/MGIC/seb/22-25001_rental_income_worksheet-2021.pdf#page=2&amp;view=fit" display="Insurance:  Form 8825 Line 7" xr:uid="{00000000-0004-0000-0000-000094000000}"/>
    <hyperlink ref="D573" location="Rental!D573" tooltip="https://www.mgic.com/-/media/MGIC/seb/22-25001_rental_income_worksheet-2021.pdf#page=2&amp;view=fit" display="Other:" xr:uid="{00000000-0004-0000-0000-000095000000}"/>
    <hyperlink ref="E573" location="Rental!E573" tooltip="https://www.mgic.com/-/media/MGIC/seb/22-25001_rental_income_worksheet-2021.pdf#page=2&amp;view=fit" display="Amortization/Casualty Loss/HOA Dues, if applicable:  Form 8825 Line 15" xr:uid="{00000000-0004-0000-0000-000096000000}"/>
    <hyperlink ref="D568" location="Rental!D568" tooltip="https://www.mgic.com/-/media/MGIC/seb/22-25001_rental_income_worksheet-2021.pdf#page=2&amp;view=fit" display="Total Expenses:  Form 8825 Line 16" xr:uid="{00000000-0004-0000-0000-000097000000}"/>
    <hyperlink ref="D550" location="Rental!D550" tooltip="https://www.mgic.com/-/media/MGIC/seb/22-25001_rental_income_worksheet-2021.pdf#page=2&amp;view=fit" display="Gross Rents:  Form 8825 Line 2" xr:uid="{00000000-0004-0000-0000-000098000000}"/>
    <hyperlink ref="D552" location="Rental!D552" tooltip="https://www.mgic.com/-/media/MGIC/seb/22-25001_rental_income_worksheet-2021.pdf#page=2&amp;view=fit" display="Depreciation:  Form 8825 Line 14" xr:uid="{00000000-0004-0000-0000-000099000000}"/>
    <hyperlink ref="D553" location="Rental!D553" tooltip="https://www.mgic.com/-/media/MGIC/seb/22-25001_rental_income_worksheet-2021.pdf#page=2&amp;view=fit" display="Taxes:  Form 8825 Line 11" xr:uid="{00000000-0004-0000-0000-00009A000000}"/>
    <hyperlink ref="D554" location="Rental!D554" tooltip="https://www.mgic.com/-/media/MGIC/seb/22-25001_rental_income_worksheet-2021.pdf#page=2&amp;view=fit" display="Interest:  Form 8825 Line 9" xr:uid="{00000000-0004-0000-0000-00009B000000}"/>
    <hyperlink ref="D555" location="Rental!D555" tooltip="https://www.mgic.com/-/media/MGIC/seb/22-25001_rental_income_worksheet-2021.pdf#page=2&amp;view=fit" display="Insurance:  Form 8825 Line 7" xr:uid="{00000000-0004-0000-0000-00009C000000}"/>
    <hyperlink ref="D556" location="Rental!D556" tooltip="https://www.mgic.com/-/media/MGIC/seb/22-25001_rental_income_worksheet-2021.pdf#page=2&amp;view=fit" display="Other:" xr:uid="{00000000-0004-0000-0000-00009D000000}"/>
    <hyperlink ref="E556" location="Rental!E556" tooltip="https://www.mgic.com/-/media/MGIC/seb/22-25001_rental_income_worksheet-2021.pdf#page=2&amp;view=fit" display="Amortization/Casualty Loss/HOA Dues, if applicable:  Form 8825 Line 15" xr:uid="{00000000-0004-0000-0000-00009E000000}"/>
    <hyperlink ref="D551" location="Rental!D551" tooltip="https://www.mgic.com/-/media/MGIC/seb/22-25001_rental_income_worksheet-2021.pdf#page=2&amp;view=fit" display="Total Expenses:  Form 8825 Line 16" xr:uid="{00000000-0004-0000-0000-00009F000000}"/>
    <hyperlink ref="D533" location="Rental!D533" tooltip="https://www.mgic.com/-/media/MGIC/seb/22-25001_rental_income_worksheet-2021.pdf#page=2&amp;view=fit" display="Gross Rents:  Form 8825 Line 2" xr:uid="{00000000-0004-0000-0000-0000A0000000}"/>
    <hyperlink ref="D535" location="Rental!D535" tooltip="https://www.mgic.com/-/media/MGIC/seb/22-25001_rental_income_worksheet-2021.pdf#page=2&amp;view=fit" display="Depreciation:  Form 8825 Line 14" xr:uid="{00000000-0004-0000-0000-0000A1000000}"/>
    <hyperlink ref="D536" location="Rental!D536" tooltip="https://www.mgic.com/-/media/MGIC/seb/22-25001_rental_income_worksheet-2021.pdf#page=2&amp;view=fit" display="Taxes:  Form 8825 Line 11" xr:uid="{00000000-0004-0000-0000-0000A2000000}"/>
    <hyperlink ref="D537" location="Rental!D537" tooltip="https://www.mgic.com/-/media/MGIC/seb/22-25001_rental_income_worksheet-2021.pdf#page=2&amp;view=fit" display="Interest:  Form 8825 Line 9" xr:uid="{00000000-0004-0000-0000-0000A3000000}"/>
    <hyperlink ref="D538" location="Rental!D538" tooltip="https://www.mgic.com/-/media/MGIC/seb/22-25001_rental_income_worksheet-2021.pdf#page=2&amp;view=fit" display="Insurance:  Form 8825 Line 7" xr:uid="{00000000-0004-0000-0000-0000A4000000}"/>
    <hyperlink ref="D539" location="Rental!D539" tooltip="https://www.mgic.com/-/media/MGIC/seb/22-25001_rental_income_worksheet-2021.pdf#page=2&amp;view=fit" display="Other:" xr:uid="{00000000-0004-0000-0000-0000A5000000}"/>
    <hyperlink ref="E539" location="Rental!E539" tooltip="https://www.mgic.com/-/media/MGIC/seb/22-25001_rental_income_worksheet-2021.pdf#page=2&amp;view=fit" display="Amortization/Casualty Loss/HOA Dues, if applicable:  Form 8825 Line 15" xr:uid="{00000000-0004-0000-0000-0000A6000000}"/>
    <hyperlink ref="D534" location="Rental!D534" tooltip="https://www.mgic.com/-/media/MGIC/seb/22-25001_rental_income_worksheet-2021.pdf#page=2&amp;view=fit" display="Total Expenses:  Form 8825 Line 16" xr:uid="{00000000-0004-0000-0000-0000A7000000}"/>
    <hyperlink ref="D516" location="Rental!D516" tooltip="https://www.mgic.com/-/media/MGIC/seb/22-25001_rental_income_worksheet-2021.pdf#page=2&amp;view=fit" display="Gross Rents:  Form 8825 Line 2" xr:uid="{00000000-0004-0000-0000-0000A8000000}"/>
    <hyperlink ref="D518" location="Rental!D518" tooltip="https://www.mgic.com/-/media/MGIC/seb/22-25001_rental_income_worksheet-2021.pdf#page=2&amp;view=fit" display="Depreciation:  Form 8825 Line 14" xr:uid="{00000000-0004-0000-0000-0000A9000000}"/>
    <hyperlink ref="D519" location="Rental!D519" tooltip="https://www.mgic.com/-/media/MGIC/seb/22-25001_rental_income_worksheet-2021.pdf#page=2&amp;view=fit" display="Taxes:  Form 8825 Line 11" xr:uid="{00000000-0004-0000-0000-0000AA000000}"/>
    <hyperlink ref="D520" location="Rental!D520" tooltip="https://www.mgic.com/-/media/MGIC/seb/22-25001_rental_income_worksheet-2021.pdf#page=2&amp;view=fit" display="Interest:  Form 8825 Line 9" xr:uid="{00000000-0004-0000-0000-0000AB000000}"/>
    <hyperlink ref="D521" location="Rental!D521" tooltip="https://www.mgic.com/-/media/MGIC/seb/22-25001_rental_income_worksheet-2021.pdf#page=2&amp;view=fit" display="Insurance:  Form 8825 Line 7" xr:uid="{00000000-0004-0000-0000-0000AC000000}"/>
    <hyperlink ref="D522" location="Rental!D522" tooltip="https://www.mgic.com/-/media/MGIC/seb/22-25001_rental_income_worksheet-2021.pdf#page=2&amp;view=fit" display="Other:" xr:uid="{00000000-0004-0000-0000-0000AD000000}"/>
    <hyperlink ref="E522" location="Rental!E522" tooltip="https://www.mgic.com/-/media/MGIC/seb/22-25001_rental_income_worksheet-2021.pdf#page=2&amp;view=fit" display="Amortization/Casualty Loss/HOA Dues, if applicable:  Form 8825 Line 15" xr:uid="{00000000-0004-0000-0000-0000AE000000}"/>
    <hyperlink ref="D517" location="Rental!D517" tooltip="https://www.mgic.com/-/media/MGIC/seb/22-25001_rental_income_worksheet-2021.pdf#page=2&amp;view=fit" display="Total Expenses:  Form 8825 Line 16" xr:uid="{00000000-0004-0000-0000-0000AF000000}"/>
    <hyperlink ref="D499" location="Rental!D499" tooltip="https://www.mgic.com/-/media/MGIC/seb/22-25001_rental_income_worksheet-2021.pdf#page=2&amp;view=fit" display="Gross Rents:  Form 8825 Line 2" xr:uid="{00000000-0004-0000-0000-0000B0000000}"/>
    <hyperlink ref="D501" location="Rental!D501" tooltip="https://www.mgic.com/-/media/MGIC/seb/22-25001_rental_income_worksheet-2021.pdf#page=2&amp;view=fit" display="Depreciation:  Form 8825 Line 14" xr:uid="{00000000-0004-0000-0000-0000B1000000}"/>
    <hyperlink ref="D502" location="Rental!D502" tooltip="https://www.mgic.com/-/media/MGIC/seb/22-25001_rental_income_worksheet-2021.pdf#page=2&amp;view=fit" display="Taxes:  Form 8825 Line 11" xr:uid="{00000000-0004-0000-0000-0000B2000000}"/>
    <hyperlink ref="D503" location="Rental!D503" tooltip="https://www.mgic.com/-/media/MGIC/seb/22-25001_rental_income_worksheet-2021.pdf#page=2&amp;view=fit" display="Interest:  Form 8825 Line 9" xr:uid="{00000000-0004-0000-0000-0000B3000000}"/>
    <hyperlink ref="D504" location="Rental!D504" tooltip="https://www.mgic.com/-/media/MGIC/seb/22-25001_rental_income_worksheet-2021.pdf#page=2&amp;view=fit" display="Insurance:  Form 8825 Line 7" xr:uid="{00000000-0004-0000-0000-0000B4000000}"/>
    <hyperlink ref="D505" location="Rental!D505" tooltip="https://www.mgic.com/-/media/MGIC/seb/22-25001_rental_income_worksheet-2021.pdf#page=2&amp;view=fit" display="Other:" xr:uid="{00000000-0004-0000-0000-0000B5000000}"/>
    <hyperlink ref="E505" location="Rental!E505" tooltip="https://www.mgic.com/-/media/MGIC/seb/22-25001_rental_income_worksheet-2021.pdf#page=2&amp;view=fit" display="Amortization/Casualty Loss/HOA Dues, if applicable:  Form 8825 Line 15" xr:uid="{00000000-0004-0000-0000-0000B6000000}"/>
    <hyperlink ref="D500" location="Rental!D500" tooltip="https://www.mgic.com/-/media/MGIC/seb/22-25001_rental_income_worksheet-2021.pdf#page=2&amp;view=fit" display="Total Expenses:  Form 8825 Line 16" xr:uid="{00000000-0004-0000-0000-0000B7000000}"/>
    <hyperlink ref="D482" location="Rental!D482" tooltip="https://www.mgic.com/-/media/MGIC/seb/22-25001_rental_income_worksheet-2021.pdf#page=2&amp;view=fit" display="Gross Rents:  Form 8825 Line 2" xr:uid="{00000000-0004-0000-0000-0000B8000000}"/>
    <hyperlink ref="D484" location="Rental!D484" tooltip="https://www.mgic.com/-/media/MGIC/seb/22-25001_rental_income_worksheet-2021.pdf#page=2&amp;view=fit" display="Depreciation:  Form 8825 Line 14" xr:uid="{00000000-0004-0000-0000-0000B9000000}"/>
    <hyperlink ref="D485" location="Rental!D485" tooltip="https://www.mgic.com/-/media/MGIC/seb/22-25001_rental_income_worksheet-2021.pdf#page=2&amp;view=fit" display="Taxes:  Form 8825 Line 11" xr:uid="{00000000-0004-0000-0000-0000BA000000}"/>
    <hyperlink ref="D486" location="Rental!D486" tooltip="https://www.mgic.com/-/media/MGIC/seb/22-25001_rental_income_worksheet-2021.pdf#page=2&amp;view=fit" display="Interest:  Form 8825 Line 9" xr:uid="{00000000-0004-0000-0000-0000BB000000}"/>
    <hyperlink ref="D487" location="Rental!D487" tooltip="https://www.mgic.com/-/media/MGIC/seb/22-25001_rental_income_worksheet-2021.pdf#page=2&amp;view=fit" display="Insurance:  Form 8825 Line 7" xr:uid="{00000000-0004-0000-0000-0000BC000000}"/>
    <hyperlink ref="D488" location="Rental!D488" tooltip="https://www.mgic.com/-/media/MGIC/seb/22-25001_rental_income_worksheet-2021.pdf#page=2&amp;view=fit" display="Other:" xr:uid="{00000000-0004-0000-0000-0000BD000000}"/>
    <hyperlink ref="E488" location="Rental!E488" tooltip="https://www.mgic.com/-/media/MGIC/seb/22-25001_rental_income_worksheet-2021.pdf#page=2&amp;view=fit" display="Amortization/Casualty Loss/HOA Dues, if applicable:  Form 8825 Line 15" xr:uid="{00000000-0004-0000-0000-0000BE000000}"/>
    <hyperlink ref="D483" location="Rental!D483" tooltip="https://www.mgic.com/-/media/MGIC/seb/22-25001_rental_income_worksheet-2021.pdf#page=2&amp;view=fit" display="Total Expenses:  Form 8825 Line 16" xr:uid="{00000000-0004-0000-0000-0000BF000000}"/>
    <hyperlink ref="D465" location="Rental!D465" tooltip="https://www.mgic.com/-/media/MGIC/seb/22-25001_rental_income_worksheet-2021.pdf#page=2&amp;view=fit" display="Gross Rents:  Form 8825 Line 2" xr:uid="{00000000-0004-0000-0000-0000C0000000}"/>
    <hyperlink ref="D467" location="Rental!D467" tooltip="https://www.mgic.com/-/media/MGIC/seb/22-25001_rental_income_worksheet-2021.pdf#page=2&amp;view=fit" display="Depreciation:  Form 8825 Line 14" xr:uid="{00000000-0004-0000-0000-0000C1000000}"/>
    <hyperlink ref="D468" location="Rental!D468" tooltip="https://www.mgic.com/-/media/MGIC/seb/22-25001_rental_income_worksheet-2021.pdf#page=2&amp;view=fit" display="Taxes:  Form 8825 Line 11" xr:uid="{00000000-0004-0000-0000-0000C2000000}"/>
    <hyperlink ref="D469" location="Rental!D469" tooltip="https://www.mgic.com/-/media/MGIC/seb/22-25001_rental_income_worksheet-2021.pdf#page=2&amp;view=fit" display="Interest:  Form 8825 Line 9" xr:uid="{00000000-0004-0000-0000-0000C3000000}"/>
    <hyperlink ref="D470" location="Rental!D470" tooltip="https://www.mgic.com/-/media/MGIC/seb/22-25001_rental_income_worksheet-2021.pdf#page=2&amp;view=fit" display="Insurance:  Form 8825 Line 7" xr:uid="{00000000-0004-0000-0000-0000C4000000}"/>
    <hyperlink ref="D471" location="Rental!D471" tooltip="https://www.mgic.com/-/media/MGIC/seb/22-25001_rental_income_worksheet-2021.pdf#page=2&amp;view=fit" display="Other:" xr:uid="{00000000-0004-0000-0000-0000C5000000}"/>
    <hyperlink ref="E471" location="Rental!E471" tooltip="https://www.mgic.com/-/media/MGIC/seb/22-25001_rental_income_worksheet-2021.pdf#page=2&amp;view=fit" display="Amortization/Casualty Loss/HOA Dues, if applicable:  Form 8825 Line 15" xr:uid="{00000000-0004-0000-0000-0000C6000000}"/>
    <hyperlink ref="D466" location="Rental!D466" tooltip="https://www.mgic.com/-/media/MGIC/seb/22-25001_rental_income_worksheet-2021.pdf#page=2&amp;view=fit" display="Total Expenses:  Form 8825 Line 16" xr:uid="{00000000-0004-0000-0000-0000C7000000}"/>
    <hyperlink ref="D448" location="Rental!D448" tooltip="https://www.mgic.com/-/media/MGIC/seb/22-25001_rental_income_worksheet-2021.pdf#page=2&amp;view=fit" display="Gross Rents:  Form 8825 Line 2" xr:uid="{00000000-0004-0000-0000-0000C8000000}"/>
    <hyperlink ref="D450" location="Rental!D450" tooltip="https://www.mgic.com/-/media/MGIC/seb/22-25001_rental_income_worksheet-2021.pdf#page=2&amp;view=fit" display="Depreciation:  Form 8825 Line 14" xr:uid="{00000000-0004-0000-0000-0000C9000000}"/>
    <hyperlink ref="D451" location="Rental!D451" tooltip="https://www.mgic.com/-/media/MGIC/seb/22-25001_rental_income_worksheet-2021.pdf#page=2&amp;view=fit" display="Taxes:  Form 8825 Line 11" xr:uid="{00000000-0004-0000-0000-0000CA000000}"/>
    <hyperlink ref="D452" location="Rental!D452" tooltip="https://www.mgic.com/-/media/MGIC/seb/22-25001_rental_income_worksheet-2021.pdf#page=2&amp;view=fit" display="Interest:  Form 8825 Line 9" xr:uid="{00000000-0004-0000-0000-0000CB000000}"/>
    <hyperlink ref="D453" location="Rental!D453" tooltip="https://www.mgic.com/-/media/MGIC/seb/22-25001_rental_income_worksheet-2021.pdf#page=2&amp;view=fit" display="Insurance:  Form 8825 Line 7" xr:uid="{00000000-0004-0000-0000-0000CC000000}"/>
    <hyperlink ref="D454" location="Rental!D454" tooltip="https://www.mgic.com/-/media/MGIC/seb/22-25001_rental_income_worksheet-2021.pdf#page=2&amp;view=fit" display="Other:" xr:uid="{00000000-0004-0000-0000-0000CD000000}"/>
    <hyperlink ref="E454" location="Rental!E454" tooltip="https://www.mgic.com/-/media/MGIC/seb/22-25001_rental_income_worksheet-2021.pdf#page=2&amp;view=fit" display="Amortization/Casualty Loss/HOA Dues, if applicable:  Form 8825 Line 15" xr:uid="{00000000-0004-0000-0000-0000CE000000}"/>
    <hyperlink ref="D449" location="Rental!D449" tooltip="https://www.mgic.com/-/media/MGIC/seb/22-25001_rental_income_worksheet-2021.pdf#page=2&amp;view=fit" display="Total Expenses:  Form 8825 Line 16" xr:uid="{00000000-0004-0000-0000-0000CF000000}"/>
    <hyperlink ref="D431" location="Rental!D431" tooltip="https://www.mgic.com/-/media/MGIC/seb/22-25001_rental_income_worksheet-2021.pdf#page=2&amp;view=fit" display="Gross Rents:  Form 8825 Line 2" xr:uid="{00000000-0004-0000-0000-0000D0000000}"/>
    <hyperlink ref="D433" location="Rental!D433" tooltip="https://www.mgic.com/-/media/MGIC/seb/22-25001_rental_income_worksheet-2021.pdf#page=2&amp;view=fit" display="Depreciation:  Form 8825 Line 14" xr:uid="{00000000-0004-0000-0000-0000D1000000}"/>
    <hyperlink ref="D434" location="Rental!D434" tooltip="https://www.mgic.com/-/media/MGIC/seb/22-25001_rental_income_worksheet-2021.pdf#page=2&amp;view=fit" display="Taxes:  Form 8825 Line 11" xr:uid="{00000000-0004-0000-0000-0000D2000000}"/>
    <hyperlink ref="D435" location="Rental!D435" tooltip="https://www.mgic.com/-/media/MGIC/seb/22-25001_rental_income_worksheet-2021.pdf#page=2&amp;view=fit" display="Interest:  Form 8825 Line 9" xr:uid="{00000000-0004-0000-0000-0000D3000000}"/>
    <hyperlink ref="D436" location="Rental!D436" tooltip="https://www.mgic.com/-/media/MGIC/seb/22-25001_rental_income_worksheet-2021.pdf#page=2&amp;view=fit" display="Insurance:  Form 8825 Line 7" xr:uid="{00000000-0004-0000-0000-0000D4000000}"/>
    <hyperlink ref="D437" location="Rental!D437" tooltip="https://www.mgic.com/-/media/MGIC/seb/22-25001_rental_income_worksheet-2021.pdf#page=2&amp;view=fit" display="Other:" xr:uid="{00000000-0004-0000-0000-0000D5000000}"/>
    <hyperlink ref="E437" location="Rental!E437" tooltip="https://www.mgic.com/-/media/MGIC/seb/22-25001_rental_income_worksheet-2021.pdf#page=2&amp;view=fit" display="Amortization/Casualty Loss/HOA Dues, if applicable:  Form 8825 Line 15" xr:uid="{00000000-0004-0000-0000-0000D6000000}"/>
    <hyperlink ref="D432" location="Rental!D432" tooltip="https://www.mgic.com/-/media/MGIC/seb/22-25001_rental_income_worksheet-2021.pdf#page=2&amp;view=fit" display="Total Expenses:  Form 8825 Line 16" xr:uid="{00000000-0004-0000-0000-0000D7000000}"/>
  </hyperlinks>
  <pageMargins left="0.7" right="0.7" top="0.75" bottom="0.75" header="0.3" footer="0.3"/>
  <pageSetup scale="48"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92D050"/>
  </sheetPr>
  <dimension ref="A1:J22"/>
  <sheetViews>
    <sheetView zoomScaleNormal="100" workbookViewId="0">
      <pane ySplit="1" topLeftCell="A2" activePane="bottomLeft" state="frozen"/>
      <selection pane="bottomLeft" activeCell="E24" sqref="E24"/>
    </sheetView>
  </sheetViews>
  <sheetFormatPr defaultRowHeight="15" x14ac:dyDescent="0.25"/>
  <cols>
    <col min="1" max="1" width="5.42578125" bestFit="1" customWidth="1"/>
    <col min="2" max="2" width="27.140625" bestFit="1" customWidth="1"/>
    <col min="3" max="3" width="9.5703125" customWidth="1"/>
    <col min="4" max="4" width="10.7109375" style="124" bestFit="1" customWidth="1"/>
    <col min="5" max="5" width="32" customWidth="1"/>
    <col min="6" max="6" width="10.7109375" customWidth="1"/>
    <col min="7" max="7" width="37.5703125" bestFit="1" customWidth="1"/>
    <col min="8" max="8" width="39.7109375" bestFit="1" customWidth="1"/>
    <col min="10" max="10" width="80.28515625" bestFit="1" customWidth="1"/>
  </cols>
  <sheetData>
    <row r="1" spans="1:10" x14ac:dyDescent="0.25">
      <c r="A1" s="9" t="s">
        <v>17</v>
      </c>
      <c r="B1" s="9" t="s">
        <v>350</v>
      </c>
      <c r="C1" s="122" t="s">
        <v>351</v>
      </c>
      <c r="D1" s="122" t="s">
        <v>352</v>
      </c>
      <c r="E1" s="9" t="s">
        <v>353</v>
      </c>
      <c r="F1" s="9" t="s">
        <v>354</v>
      </c>
      <c r="G1" s="9" t="s">
        <v>22</v>
      </c>
      <c r="H1" s="9" t="s">
        <v>23</v>
      </c>
      <c r="I1" s="9" t="s">
        <v>28</v>
      </c>
      <c r="J1" s="9" t="s">
        <v>29</v>
      </c>
    </row>
    <row r="2" spans="1:10" x14ac:dyDescent="0.25">
      <c r="A2">
        <v>1</v>
      </c>
      <c r="B2" t="s">
        <v>360</v>
      </c>
      <c r="C2" s="123" t="s">
        <v>369</v>
      </c>
      <c r="D2" s="124">
        <v>2</v>
      </c>
      <c r="E2" t="s">
        <v>376</v>
      </c>
      <c r="F2" t="s">
        <v>387</v>
      </c>
      <c r="G2" t="s">
        <v>33</v>
      </c>
      <c r="H2" t="s">
        <v>386</v>
      </c>
      <c r="I2" t="s">
        <v>35</v>
      </c>
      <c r="J2" t="s">
        <v>385</v>
      </c>
    </row>
    <row r="3" spans="1:10" x14ac:dyDescent="0.25">
      <c r="A3">
        <v>2</v>
      </c>
      <c r="C3" s="123" t="s">
        <v>369</v>
      </c>
      <c r="D3" s="124">
        <v>3</v>
      </c>
      <c r="E3" t="s">
        <v>377</v>
      </c>
      <c r="F3" t="s">
        <v>387</v>
      </c>
      <c r="G3" t="s">
        <v>33</v>
      </c>
      <c r="H3" t="s">
        <v>386</v>
      </c>
      <c r="I3" t="s">
        <v>35</v>
      </c>
      <c r="J3" t="s">
        <v>36</v>
      </c>
    </row>
    <row r="4" spans="1:10" x14ac:dyDescent="0.25">
      <c r="A4">
        <v>3</v>
      </c>
      <c r="C4" s="123" t="s">
        <v>369</v>
      </c>
      <c r="D4" s="124">
        <v>4</v>
      </c>
      <c r="E4" t="s">
        <v>355</v>
      </c>
      <c r="F4" t="s">
        <v>387</v>
      </c>
      <c r="G4" t="s">
        <v>33</v>
      </c>
      <c r="H4" t="s">
        <v>386</v>
      </c>
      <c r="I4" t="s">
        <v>35</v>
      </c>
    </row>
    <row r="5" spans="1:10" x14ac:dyDescent="0.25">
      <c r="A5">
        <v>4</v>
      </c>
      <c r="C5" s="123" t="s">
        <v>369</v>
      </c>
      <c r="D5" s="124">
        <v>5</v>
      </c>
      <c r="E5" t="s">
        <v>363</v>
      </c>
      <c r="F5" t="s">
        <v>387</v>
      </c>
      <c r="G5" t="s">
        <v>33</v>
      </c>
      <c r="H5" t="s">
        <v>386</v>
      </c>
      <c r="I5" t="s">
        <v>35</v>
      </c>
    </row>
    <row r="6" spans="1:10" x14ac:dyDescent="0.25">
      <c r="A6">
        <v>5</v>
      </c>
      <c r="C6" s="123" t="s">
        <v>369</v>
      </c>
      <c r="D6" s="124">
        <v>6</v>
      </c>
      <c r="E6" t="s">
        <v>364</v>
      </c>
      <c r="F6" t="s">
        <v>387</v>
      </c>
      <c r="G6" t="s">
        <v>33</v>
      </c>
      <c r="H6" t="s">
        <v>386</v>
      </c>
      <c r="I6" t="s">
        <v>35</v>
      </c>
    </row>
    <row r="7" spans="1:10" x14ac:dyDescent="0.25">
      <c r="A7">
        <v>6</v>
      </c>
      <c r="B7" s="127"/>
      <c r="C7" s="128" t="s">
        <v>369</v>
      </c>
      <c r="D7" s="129">
        <v>7</v>
      </c>
      <c r="E7" s="127" t="s">
        <v>365</v>
      </c>
      <c r="F7" t="s">
        <v>387</v>
      </c>
      <c r="G7" t="s">
        <v>33</v>
      </c>
      <c r="H7" t="s">
        <v>386</v>
      </c>
      <c r="I7" t="s">
        <v>35</v>
      </c>
    </row>
    <row r="8" spans="1:10" x14ac:dyDescent="0.25">
      <c r="A8">
        <v>7</v>
      </c>
      <c r="B8" s="127"/>
      <c r="C8" s="128" t="s">
        <v>369</v>
      </c>
      <c r="D8" s="129">
        <v>8</v>
      </c>
      <c r="E8" s="127" t="s">
        <v>366</v>
      </c>
      <c r="F8" t="s">
        <v>387</v>
      </c>
      <c r="G8" t="s">
        <v>33</v>
      </c>
      <c r="H8" t="s">
        <v>386</v>
      </c>
      <c r="I8" t="s">
        <v>35</v>
      </c>
    </row>
    <row r="9" spans="1:10" x14ac:dyDescent="0.25">
      <c r="A9">
        <v>8</v>
      </c>
      <c r="B9" s="127" t="s">
        <v>367</v>
      </c>
      <c r="C9" s="123" t="s">
        <v>369</v>
      </c>
      <c r="D9" s="124">
        <v>16</v>
      </c>
      <c r="E9" t="s">
        <v>378</v>
      </c>
      <c r="F9" t="s">
        <v>387</v>
      </c>
      <c r="G9" t="s">
        <v>33</v>
      </c>
      <c r="H9" t="s">
        <v>386</v>
      </c>
      <c r="I9" t="s">
        <v>35</v>
      </c>
    </row>
    <row r="10" spans="1:10" x14ac:dyDescent="0.25">
      <c r="A10">
        <v>9</v>
      </c>
      <c r="C10" s="123" t="s">
        <v>369</v>
      </c>
      <c r="D10" s="124">
        <v>17</v>
      </c>
      <c r="E10" t="s">
        <v>379</v>
      </c>
      <c r="F10" t="s">
        <v>387</v>
      </c>
      <c r="G10" t="s">
        <v>33</v>
      </c>
      <c r="H10" t="s">
        <v>386</v>
      </c>
      <c r="I10" t="s">
        <v>35</v>
      </c>
    </row>
    <row r="11" spans="1:10" x14ac:dyDescent="0.25">
      <c r="A11">
        <v>10</v>
      </c>
      <c r="C11" s="123" t="s">
        <v>369</v>
      </c>
      <c r="D11" s="124">
        <v>18</v>
      </c>
      <c r="E11" t="s">
        <v>355</v>
      </c>
      <c r="F11" t="s">
        <v>387</v>
      </c>
      <c r="G11" t="s">
        <v>33</v>
      </c>
      <c r="H11" t="s">
        <v>386</v>
      </c>
      <c r="I11" t="s">
        <v>35</v>
      </c>
    </row>
    <row r="12" spans="1:10" x14ac:dyDescent="0.25">
      <c r="A12">
        <v>11</v>
      </c>
      <c r="C12" s="123" t="s">
        <v>369</v>
      </c>
      <c r="D12" s="124">
        <v>19</v>
      </c>
      <c r="E12" t="s">
        <v>363</v>
      </c>
      <c r="F12" t="s">
        <v>387</v>
      </c>
      <c r="G12" t="s">
        <v>33</v>
      </c>
      <c r="H12" t="s">
        <v>386</v>
      </c>
      <c r="I12" t="s">
        <v>35</v>
      </c>
    </row>
    <row r="13" spans="1:10" x14ac:dyDescent="0.25">
      <c r="A13">
        <v>12</v>
      </c>
      <c r="C13" s="123" t="s">
        <v>369</v>
      </c>
      <c r="D13" s="124">
        <v>20</v>
      </c>
      <c r="E13" t="s">
        <v>364</v>
      </c>
      <c r="F13" t="s">
        <v>387</v>
      </c>
      <c r="G13" t="s">
        <v>33</v>
      </c>
      <c r="H13" t="s">
        <v>386</v>
      </c>
      <c r="I13" t="s">
        <v>35</v>
      </c>
    </row>
    <row r="14" spans="1:10" x14ac:dyDescent="0.25">
      <c r="A14">
        <v>13</v>
      </c>
      <c r="C14" s="123" t="s">
        <v>369</v>
      </c>
      <c r="D14" s="124">
        <v>21</v>
      </c>
      <c r="E14" t="s">
        <v>365</v>
      </c>
      <c r="F14" t="s">
        <v>387</v>
      </c>
      <c r="G14" t="s">
        <v>33</v>
      </c>
      <c r="H14" t="s">
        <v>386</v>
      </c>
      <c r="I14" t="s">
        <v>35</v>
      </c>
    </row>
    <row r="15" spans="1:10" x14ac:dyDescent="0.25">
      <c r="A15">
        <v>14</v>
      </c>
      <c r="C15" s="123" t="s">
        <v>369</v>
      </c>
      <c r="D15" s="124">
        <v>22</v>
      </c>
      <c r="E15" t="s">
        <v>366</v>
      </c>
      <c r="F15" t="s">
        <v>387</v>
      </c>
      <c r="G15" t="s">
        <v>33</v>
      </c>
      <c r="H15" t="s">
        <v>386</v>
      </c>
      <c r="I15" t="s">
        <v>35</v>
      </c>
    </row>
    <row r="16" spans="1:10" x14ac:dyDescent="0.25">
      <c r="A16">
        <v>15</v>
      </c>
      <c r="B16" t="s">
        <v>368</v>
      </c>
      <c r="C16" s="123" t="s">
        <v>369</v>
      </c>
      <c r="D16" s="124">
        <v>34</v>
      </c>
      <c r="E16" t="s">
        <v>380</v>
      </c>
      <c r="F16" t="s">
        <v>388</v>
      </c>
      <c r="G16" t="s">
        <v>33</v>
      </c>
      <c r="H16" t="s">
        <v>386</v>
      </c>
      <c r="I16" t="s">
        <v>35</v>
      </c>
    </row>
    <row r="17" spans="1:9" x14ac:dyDescent="0.25">
      <c r="A17">
        <v>16</v>
      </c>
      <c r="C17" s="123" t="s">
        <v>369</v>
      </c>
      <c r="D17" s="124">
        <v>35</v>
      </c>
      <c r="E17" t="s">
        <v>377</v>
      </c>
      <c r="F17" t="s">
        <v>388</v>
      </c>
      <c r="G17" t="s">
        <v>33</v>
      </c>
      <c r="H17" t="s">
        <v>386</v>
      </c>
      <c r="I17" t="s">
        <v>35</v>
      </c>
    </row>
    <row r="18" spans="1:9" x14ac:dyDescent="0.25">
      <c r="A18">
        <v>17</v>
      </c>
      <c r="C18" s="123" t="s">
        <v>369</v>
      </c>
      <c r="D18" s="124">
        <v>36</v>
      </c>
      <c r="E18" t="s">
        <v>355</v>
      </c>
      <c r="F18" t="s">
        <v>388</v>
      </c>
      <c r="G18" t="s">
        <v>33</v>
      </c>
      <c r="H18" t="s">
        <v>386</v>
      </c>
      <c r="I18" t="s">
        <v>35</v>
      </c>
    </row>
    <row r="19" spans="1:9" x14ac:dyDescent="0.25">
      <c r="A19">
        <v>18</v>
      </c>
      <c r="C19" s="123" t="s">
        <v>369</v>
      </c>
      <c r="D19" s="124">
        <v>37</v>
      </c>
      <c r="E19" t="s">
        <v>363</v>
      </c>
      <c r="F19" t="s">
        <v>388</v>
      </c>
      <c r="G19" t="s">
        <v>33</v>
      </c>
      <c r="H19" t="s">
        <v>386</v>
      </c>
      <c r="I19" t="s">
        <v>35</v>
      </c>
    </row>
    <row r="20" spans="1:9" x14ac:dyDescent="0.25">
      <c r="A20">
        <v>19</v>
      </c>
      <c r="C20" s="123" t="s">
        <v>369</v>
      </c>
      <c r="D20" s="124">
        <v>38</v>
      </c>
      <c r="E20" t="s">
        <v>364</v>
      </c>
      <c r="F20" t="s">
        <v>388</v>
      </c>
      <c r="G20" t="s">
        <v>33</v>
      </c>
      <c r="H20" t="s">
        <v>386</v>
      </c>
      <c r="I20" t="s">
        <v>35</v>
      </c>
    </row>
    <row r="21" spans="1:9" x14ac:dyDescent="0.25">
      <c r="A21">
        <v>20</v>
      </c>
      <c r="C21" s="123" t="s">
        <v>369</v>
      </c>
      <c r="D21" s="124">
        <v>39</v>
      </c>
      <c r="E21" t="s">
        <v>365</v>
      </c>
      <c r="F21" t="s">
        <v>388</v>
      </c>
      <c r="G21" t="s">
        <v>33</v>
      </c>
      <c r="H21" t="s">
        <v>386</v>
      </c>
      <c r="I21" t="s">
        <v>35</v>
      </c>
    </row>
    <row r="22" spans="1:9" x14ac:dyDescent="0.25">
      <c r="A22">
        <v>21</v>
      </c>
      <c r="C22" s="123" t="s">
        <v>369</v>
      </c>
      <c r="D22" s="124">
        <v>40</v>
      </c>
      <c r="E22" t="s">
        <v>366</v>
      </c>
      <c r="F22" t="s">
        <v>388</v>
      </c>
      <c r="G22" t="s">
        <v>33</v>
      </c>
      <c r="H22" t="s">
        <v>386</v>
      </c>
      <c r="I22" t="s">
        <v>35</v>
      </c>
    </row>
  </sheetData>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FF00"/>
  </sheetPr>
  <dimension ref="A1:D2"/>
  <sheetViews>
    <sheetView workbookViewId="0">
      <selection activeCell="B3" sqref="B3"/>
    </sheetView>
  </sheetViews>
  <sheetFormatPr defaultRowHeight="15" x14ac:dyDescent="0.25"/>
  <cols>
    <col min="1" max="1" width="5.7109375" style="165" customWidth="1"/>
    <col min="2" max="2" width="14.140625" style="166" bestFit="1" customWidth="1"/>
    <col min="3" max="3" width="18.7109375" style="166" bestFit="1" customWidth="1"/>
    <col min="4" max="4" width="151.7109375" style="167" customWidth="1"/>
  </cols>
  <sheetData>
    <row r="1" spans="1:4" x14ac:dyDescent="0.25">
      <c r="B1" s="166" t="s">
        <v>389</v>
      </c>
      <c r="C1" s="166" t="s">
        <v>390</v>
      </c>
      <c r="D1" s="167" t="s">
        <v>391</v>
      </c>
    </row>
    <row r="2" spans="1:4" ht="30" x14ac:dyDescent="0.25">
      <c r="A2" s="165">
        <v>1</v>
      </c>
      <c r="B2" s="166" t="s">
        <v>394</v>
      </c>
      <c r="C2" s="166" t="s">
        <v>392</v>
      </c>
      <c r="D2" s="167" t="s">
        <v>393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14"/>
  <sheetViews>
    <sheetView workbookViewId="0">
      <selection activeCell="C5" sqref="C5"/>
    </sheetView>
  </sheetViews>
  <sheetFormatPr defaultRowHeight="15" x14ac:dyDescent="0.25"/>
  <cols>
    <col min="1" max="1" width="11.7109375" bestFit="1" customWidth="1"/>
    <col min="3" max="3" width="14.28515625" bestFit="1" customWidth="1"/>
    <col min="4" max="4" width="12.28515625" bestFit="1" customWidth="1"/>
    <col min="5" max="5" width="19.28515625" bestFit="1" customWidth="1"/>
    <col min="6" max="6" width="14.7109375" bestFit="1" customWidth="1"/>
    <col min="8" max="8" width="23.5703125" bestFit="1" customWidth="1"/>
  </cols>
  <sheetData>
    <row r="1" spans="1:8" x14ac:dyDescent="0.25">
      <c r="A1" t="s">
        <v>7</v>
      </c>
      <c r="B1" s="4" t="s">
        <v>0</v>
      </c>
      <c r="C1" s="4" t="s">
        <v>3</v>
      </c>
      <c r="D1" s="4" t="s">
        <v>4</v>
      </c>
      <c r="E1" s="4" t="s">
        <v>1</v>
      </c>
      <c r="F1" s="4" t="s">
        <v>2</v>
      </c>
      <c r="H1" t="s">
        <v>6</v>
      </c>
    </row>
    <row r="2" spans="1:8" x14ac:dyDescent="0.25">
      <c r="A2" t="b">
        <v>1</v>
      </c>
      <c r="B2" s="4">
        <v>2019</v>
      </c>
      <c r="C2" s="4">
        <v>0.26</v>
      </c>
      <c r="D2" s="4">
        <v>12</v>
      </c>
      <c r="E2" s="4" t="b">
        <v>1</v>
      </c>
      <c r="F2" s="4" t="b">
        <v>1</v>
      </c>
      <c r="H2" s="8"/>
    </row>
    <row r="3" spans="1:8" x14ac:dyDescent="0.25">
      <c r="B3" s="4">
        <v>2020</v>
      </c>
      <c r="C3" s="4">
        <v>0.27</v>
      </c>
      <c r="D3" s="4">
        <v>11</v>
      </c>
      <c r="E3" s="4"/>
      <c r="F3" s="4"/>
    </row>
    <row r="4" spans="1:8" x14ac:dyDescent="0.25">
      <c r="B4" s="4">
        <v>2021</v>
      </c>
      <c r="C4" s="4">
        <v>0.26</v>
      </c>
      <c r="D4" s="4">
        <v>10</v>
      </c>
      <c r="E4" s="4"/>
      <c r="F4" s="4"/>
    </row>
    <row r="5" spans="1:8" x14ac:dyDescent="0.25">
      <c r="B5" s="4"/>
      <c r="C5" s="4"/>
      <c r="D5" s="4">
        <v>9</v>
      </c>
      <c r="E5" s="4"/>
      <c r="F5" s="4"/>
    </row>
    <row r="6" spans="1:8" x14ac:dyDescent="0.25">
      <c r="B6" s="4"/>
      <c r="C6" s="4"/>
      <c r="D6" s="4">
        <v>8</v>
      </c>
      <c r="E6" s="4"/>
      <c r="F6" s="4"/>
    </row>
    <row r="7" spans="1:8" x14ac:dyDescent="0.25">
      <c r="B7" s="4"/>
      <c r="C7" s="4"/>
      <c r="D7" s="4">
        <v>7</v>
      </c>
      <c r="E7" s="4"/>
      <c r="F7" s="4"/>
    </row>
    <row r="8" spans="1:8" x14ac:dyDescent="0.25">
      <c r="B8" s="4"/>
      <c r="C8" s="4"/>
      <c r="D8" s="4">
        <v>6</v>
      </c>
      <c r="E8" s="4"/>
      <c r="F8" s="4"/>
    </row>
    <row r="9" spans="1:8" x14ac:dyDescent="0.25">
      <c r="B9" s="4"/>
      <c r="C9" s="4"/>
      <c r="D9" s="4">
        <v>5</v>
      </c>
      <c r="E9" s="4"/>
      <c r="F9" s="4"/>
    </row>
    <row r="10" spans="1:8" x14ac:dyDescent="0.25">
      <c r="B10" s="4"/>
      <c r="C10" s="4"/>
      <c r="D10" s="4">
        <v>4</v>
      </c>
      <c r="E10" s="4"/>
      <c r="F10" s="4"/>
    </row>
    <row r="11" spans="1:8" x14ac:dyDescent="0.25">
      <c r="B11" s="4"/>
      <c r="C11" s="4"/>
      <c r="D11" s="4">
        <v>3</v>
      </c>
      <c r="E11" s="4"/>
      <c r="F11" s="4"/>
    </row>
    <row r="12" spans="1:8" x14ac:dyDescent="0.25">
      <c r="B12" s="4"/>
      <c r="C12" s="4"/>
      <c r="D12" s="4">
        <v>2</v>
      </c>
      <c r="E12" s="4"/>
      <c r="F12" s="4"/>
    </row>
    <row r="13" spans="1:8" x14ac:dyDescent="0.25">
      <c r="B13" s="4"/>
      <c r="C13" s="4"/>
      <c r="D13" s="4">
        <v>1</v>
      </c>
      <c r="E13" s="4"/>
      <c r="F13" s="4"/>
    </row>
    <row r="14" spans="1:8" x14ac:dyDescent="0.25">
      <c r="B14" s="4"/>
      <c r="C14" s="4"/>
      <c r="D14" s="4"/>
      <c r="E14" s="4"/>
      <c r="F14" s="4"/>
    </row>
  </sheetData>
  <sortState xmlns:xlrd2="http://schemas.microsoft.com/office/spreadsheetml/2017/richdata2" ref="D2:D13">
    <sortCondition descending="1" ref="D2"/>
  </sortState>
  <dataValidations count="1">
    <dataValidation type="list" showInputMessage="1" showErrorMessage="1" sqref="H2" xr:uid="{00000000-0002-0000-0300-000000000000}">
      <formula1>LKP_MONTH</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M224"/>
  <sheetViews>
    <sheetView workbookViewId="0">
      <pane ySplit="1" topLeftCell="A186" activePane="bottomLeft" state="frozen"/>
      <selection pane="bottomLeft" activeCell="B125" sqref="B125"/>
    </sheetView>
  </sheetViews>
  <sheetFormatPr defaultRowHeight="15" x14ac:dyDescent="0.25"/>
  <cols>
    <col min="1" max="1" width="5.42578125" bestFit="1" customWidth="1"/>
    <col min="4" max="4" width="22.5703125" customWidth="1"/>
    <col min="5" max="5" width="15.28515625" customWidth="1"/>
    <col min="6" max="6" width="37.5703125" customWidth="1"/>
    <col min="7" max="7" width="27.140625" customWidth="1"/>
    <col min="8" max="9" width="10" customWidth="1"/>
    <col min="10" max="10" width="5.5703125" customWidth="1"/>
    <col min="11" max="11" width="11" customWidth="1"/>
    <col min="12" max="12" width="9.140625" customWidth="1"/>
    <col min="13" max="13" width="80.28515625" customWidth="1"/>
  </cols>
  <sheetData>
    <row r="1" spans="1:13" s="3" customFormat="1" x14ac:dyDescent="0.25">
      <c r="A1" s="9" t="s">
        <v>17</v>
      </c>
      <c r="B1" s="9" t="s">
        <v>18</v>
      </c>
      <c r="C1" s="9" t="s">
        <v>19</v>
      </c>
      <c r="D1" s="9" t="s">
        <v>20</v>
      </c>
      <c r="E1" s="9" t="s">
        <v>21</v>
      </c>
      <c r="F1" s="9" t="s">
        <v>22</v>
      </c>
      <c r="G1" s="9" t="s">
        <v>23</v>
      </c>
      <c r="H1" s="9" t="s">
        <v>24</v>
      </c>
      <c r="I1" s="9" t="s">
        <v>25</v>
      </c>
      <c r="J1" s="9" t="s">
        <v>26</v>
      </c>
      <c r="K1" s="9" t="s">
        <v>27</v>
      </c>
      <c r="L1" s="9" t="s">
        <v>28</v>
      </c>
      <c r="M1" s="9" t="s">
        <v>29</v>
      </c>
    </row>
    <row r="2" spans="1:13" x14ac:dyDescent="0.25">
      <c r="A2">
        <v>1</v>
      </c>
      <c r="B2" t="s">
        <v>30</v>
      </c>
      <c r="C2" s="32">
        <v>9</v>
      </c>
      <c r="D2" t="s">
        <v>31</v>
      </c>
      <c r="E2" t="s">
        <v>32</v>
      </c>
      <c r="F2" t="s">
        <v>33</v>
      </c>
      <c r="G2" t="s">
        <v>34</v>
      </c>
      <c r="H2" t="b">
        <v>1</v>
      </c>
      <c r="I2" t="b">
        <v>0</v>
      </c>
      <c r="J2" s="32">
        <v>21</v>
      </c>
      <c r="K2" t="b">
        <v>1</v>
      </c>
      <c r="L2" t="s">
        <v>35</v>
      </c>
      <c r="M2" t="s">
        <v>36</v>
      </c>
    </row>
    <row r="3" spans="1:13" x14ac:dyDescent="0.25">
      <c r="A3">
        <v>2</v>
      </c>
      <c r="B3" t="s">
        <v>37</v>
      </c>
      <c r="C3" s="32">
        <v>10</v>
      </c>
      <c r="D3" t="s">
        <v>38</v>
      </c>
      <c r="E3" t="s">
        <v>32</v>
      </c>
      <c r="F3" t="s">
        <v>33</v>
      </c>
      <c r="G3" t="s">
        <v>34</v>
      </c>
      <c r="H3" t="b">
        <v>1</v>
      </c>
      <c r="I3" t="b">
        <v>0</v>
      </c>
      <c r="J3" s="32">
        <v>21</v>
      </c>
      <c r="K3" t="b">
        <v>1</v>
      </c>
      <c r="L3" t="s">
        <v>35</v>
      </c>
      <c r="M3" t="s">
        <v>36</v>
      </c>
    </row>
    <row r="4" spans="1:13" x14ac:dyDescent="0.25">
      <c r="A4">
        <v>3</v>
      </c>
      <c r="B4" t="s">
        <v>39</v>
      </c>
      <c r="C4" s="32">
        <v>19</v>
      </c>
      <c r="D4" t="s">
        <v>40</v>
      </c>
      <c r="E4" t="s">
        <v>32</v>
      </c>
      <c r="F4" t="s">
        <v>33</v>
      </c>
      <c r="G4" t="s">
        <v>34</v>
      </c>
      <c r="H4" t="b">
        <v>1</v>
      </c>
      <c r="I4" t="b">
        <v>0</v>
      </c>
      <c r="J4" s="32">
        <v>23</v>
      </c>
      <c r="K4" t="b">
        <v>1</v>
      </c>
      <c r="L4" t="s">
        <v>35</v>
      </c>
      <c r="M4" t="s">
        <v>41</v>
      </c>
    </row>
    <row r="5" spans="1:13" x14ac:dyDescent="0.25">
      <c r="A5">
        <v>4</v>
      </c>
      <c r="B5" t="s">
        <v>42</v>
      </c>
      <c r="C5" s="32">
        <v>20</v>
      </c>
      <c r="D5" t="s">
        <v>43</v>
      </c>
      <c r="E5" t="s">
        <v>32</v>
      </c>
      <c r="F5" t="s">
        <v>33</v>
      </c>
      <c r="G5" t="s">
        <v>34</v>
      </c>
      <c r="H5" t="b">
        <v>1</v>
      </c>
      <c r="I5" t="b">
        <v>0</v>
      </c>
      <c r="J5" s="32">
        <v>23</v>
      </c>
      <c r="K5" t="b">
        <v>1</v>
      </c>
      <c r="L5" t="s">
        <v>35</v>
      </c>
      <c r="M5" t="s">
        <v>41</v>
      </c>
    </row>
    <row r="6" spans="1:13" x14ac:dyDescent="0.25">
      <c r="A6">
        <v>5</v>
      </c>
      <c r="B6" t="s">
        <v>44</v>
      </c>
      <c r="C6" s="32">
        <v>21</v>
      </c>
      <c r="D6" t="s">
        <v>45</v>
      </c>
      <c r="E6" t="s">
        <v>32</v>
      </c>
      <c r="F6" t="s">
        <v>33</v>
      </c>
      <c r="G6" t="s">
        <v>34</v>
      </c>
      <c r="H6" t="b">
        <v>1</v>
      </c>
      <c r="I6" t="b">
        <v>0</v>
      </c>
      <c r="J6" s="32">
        <v>25</v>
      </c>
      <c r="K6" t="b">
        <v>1</v>
      </c>
      <c r="L6" t="s">
        <v>35</v>
      </c>
      <c r="M6" t="s">
        <v>46</v>
      </c>
    </row>
    <row r="7" spans="1:13" x14ac:dyDescent="0.25">
      <c r="A7">
        <v>6</v>
      </c>
      <c r="B7" t="s">
        <v>47</v>
      </c>
      <c r="C7" s="32">
        <v>22</v>
      </c>
      <c r="D7" t="s">
        <v>48</v>
      </c>
      <c r="E7" t="s">
        <v>32</v>
      </c>
      <c r="F7" t="s">
        <v>33</v>
      </c>
      <c r="G7" t="s">
        <v>34</v>
      </c>
      <c r="H7" t="b">
        <v>1</v>
      </c>
      <c r="I7" t="b">
        <v>0</v>
      </c>
      <c r="J7" s="32">
        <v>25</v>
      </c>
      <c r="K7" t="b">
        <v>1</v>
      </c>
      <c r="L7" t="s">
        <v>35</v>
      </c>
      <c r="M7" t="s">
        <v>46</v>
      </c>
    </row>
    <row r="8" spans="1:13" x14ac:dyDescent="0.25">
      <c r="A8">
        <v>7</v>
      </c>
      <c r="B8" t="s">
        <v>49</v>
      </c>
      <c r="C8" s="32">
        <v>23</v>
      </c>
      <c r="D8" t="s">
        <v>50</v>
      </c>
      <c r="E8" t="s">
        <v>32</v>
      </c>
      <c r="F8" t="s">
        <v>33</v>
      </c>
      <c r="G8" t="s">
        <v>34</v>
      </c>
      <c r="H8" t="b">
        <v>1</v>
      </c>
      <c r="I8" t="b">
        <v>0</v>
      </c>
      <c r="J8" s="32">
        <v>25</v>
      </c>
      <c r="K8" t="b">
        <v>1</v>
      </c>
      <c r="L8" t="s">
        <v>35</v>
      </c>
      <c r="M8" t="s">
        <v>46</v>
      </c>
    </row>
    <row r="9" spans="1:13" x14ac:dyDescent="0.25">
      <c r="A9">
        <v>8</v>
      </c>
      <c r="B9" t="s">
        <v>51</v>
      </c>
      <c r="C9" s="32">
        <v>24</v>
      </c>
      <c r="D9" t="s">
        <v>52</v>
      </c>
      <c r="E9" t="s">
        <v>32</v>
      </c>
      <c r="F9" t="s">
        <v>33</v>
      </c>
      <c r="G9" t="s">
        <v>34</v>
      </c>
      <c r="H9" t="b">
        <v>1</v>
      </c>
      <c r="I9" t="b">
        <v>0</v>
      </c>
      <c r="J9" s="32">
        <v>25</v>
      </c>
      <c r="K9" t="b">
        <v>1</v>
      </c>
      <c r="L9" t="s">
        <v>35</v>
      </c>
      <c r="M9" t="s">
        <v>46</v>
      </c>
    </row>
    <row r="10" spans="1:13" x14ac:dyDescent="0.25">
      <c r="A10">
        <v>9</v>
      </c>
      <c r="B10" t="s">
        <v>53</v>
      </c>
      <c r="C10" s="32">
        <v>25</v>
      </c>
      <c r="D10" t="s">
        <v>54</v>
      </c>
      <c r="E10" t="s">
        <v>32</v>
      </c>
      <c r="F10" t="s">
        <v>33</v>
      </c>
      <c r="G10" t="s">
        <v>34</v>
      </c>
      <c r="H10" t="b">
        <v>1</v>
      </c>
      <c r="I10" t="b">
        <v>0</v>
      </c>
      <c r="J10" s="32">
        <v>27</v>
      </c>
      <c r="K10" t="b">
        <v>1</v>
      </c>
      <c r="L10" t="s">
        <v>35</v>
      </c>
      <c r="M10" t="s">
        <v>55</v>
      </c>
    </row>
    <row r="11" spans="1:13" x14ac:dyDescent="0.25">
      <c r="A11">
        <v>10</v>
      </c>
      <c r="B11" t="s">
        <v>56</v>
      </c>
      <c r="C11" s="32">
        <v>26</v>
      </c>
      <c r="D11" t="s">
        <v>57</v>
      </c>
      <c r="E11" t="s">
        <v>32</v>
      </c>
      <c r="F11" t="s">
        <v>33</v>
      </c>
      <c r="G11" t="s">
        <v>34</v>
      </c>
      <c r="H11" t="b">
        <v>1</v>
      </c>
      <c r="I11" t="b">
        <v>0</v>
      </c>
      <c r="J11" s="32">
        <v>27</v>
      </c>
      <c r="K11" t="b">
        <v>1</v>
      </c>
      <c r="L11" t="s">
        <v>35</v>
      </c>
      <c r="M11" t="s">
        <v>55</v>
      </c>
    </row>
    <row r="12" spans="1:13" x14ac:dyDescent="0.25">
      <c r="A12">
        <v>11</v>
      </c>
      <c r="B12" t="s">
        <v>58</v>
      </c>
      <c r="C12" s="32">
        <v>27</v>
      </c>
      <c r="D12" s="10" t="s">
        <v>59</v>
      </c>
      <c r="E12" t="s">
        <v>32</v>
      </c>
      <c r="F12" t="s">
        <v>33</v>
      </c>
      <c r="G12" t="s">
        <v>34</v>
      </c>
      <c r="H12" t="b">
        <v>1</v>
      </c>
      <c r="I12" t="b">
        <v>0</v>
      </c>
      <c r="J12" s="32">
        <v>27</v>
      </c>
      <c r="K12" t="b">
        <v>1</v>
      </c>
      <c r="L12" t="s">
        <v>35</v>
      </c>
      <c r="M12" t="s">
        <v>55</v>
      </c>
    </row>
    <row r="13" spans="1:13" x14ac:dyDescent="0.25">
      <c r="A13">
        <v>12</v>
      </c>
      <c r="B13" t="s">
        <v>60</v>
      </c>
      <c r="C13" s="32">
        <v>28</v>
      </c>
      <c r="D13" t="s">
        <v>61</v>
      </c>
      <c r="E13" t="s">
        <v>32</v>
      </c>
      <c r="F13" t="s">
        <v>33</v>
      </c>
      <c r="G13" t="s">
        <v>34</v>
      </c>
      <c r="H13" t="b">
        <v>1</v>
      </c>
      <c r="I13" t="b">
        <v>0</v>
      </c>
      <c r="J13" s="32">
        <v>27</v>
      </c>
      <c r="K13" t="b">
        <v>1</v>
      </c>
      <c r="L13" t="s">
        <v>35</v>
      </c>
      <c r="M13" t="s">
        <v>55</v>
      </c>
    </row>
    <row r="14" spans="1:13" x14ac:dyDescent="0.25">
      <c r="A14">
        <v>13</v>
      </c>
      <c r="B14" t="s">
        <v>62</v>
      </c>
      <c r="C14" s="32">
        <v>34</v>
      </c>
      <c r="D14" t="s">
        <v>40</v>
      </c>
      <c r="E14" t="s">
        <v>32</v>
      </c>
      <c r="F14" t="s">
        <v>33</v>
      </c>
      <c r="G14" t="s">
        <v>34</v>
      </c>
      <c r="H14" t="b">
        <v>1</v>
      </c>
      <c r="I14" t="b">
        <v>0</v>
      </c>
      <c r="J14" s="32">
        <v>23</v>
      </c>
      <c r="K14" t="b">
        <v>1</v>
      </c>
      <c r="L14" t="s">
        <v>35</v>
      </c>
      <c r="M14" t="s">
        <v>41</v>
      </c>
    </row>
    <row r="15" spans="1:13" x14ac:dyDescent="0.25">
      <c r="A15">
        <v>14</v>
      </c>
      <c r="B15" t="s">
        <v>63</v>
      </c>
      <c r="C15" s="32">
        <v>35</v>
      </c>
      <c r="D15" t="s">
        <v>43</v>
      </c>
      <c r="E15" t="s">
        <v>32</v>
      </c>
      <c r="F15" t="s">
        <v>33</v>
      </c>
      <c r="G15" t="s">
        <v>34</v>
      </c>
      <c r="H15" t="b">
        <v>1</v>
      </c>
      <c r="I15" t="b">
        <v>0</v>
      </c>
      <c r="J15" s="32">
        <v>23</v>
      </c>
      <c r="K15" t="b">
        <v>1</v>
      </c>
      <c r="L15" t="s">
        <v>35</v>
      </c>
      <c r="M15" t="s">
        <v>41</v>
      </c>
    </row>
    <row r="16" spans="1:13" x14ac:dyDescent="0.25">
      <c r="A16">
        <v>15</v>
      </c>
      <c r="B16" t="s">
        <v>64</v>
      </c>
      <c r="C16" s="32">
        <v>36</v>
      </c>
      <c r="D16" t="s">
        <v>45</v>
      </c>
      <c r="E16" t="s">
        <v>32</v>
      </c>
      <c r="F16" t="s">
        <v>33</v>
      </c>
      <c r="G16" t="s">
        <v>34</v>
      </c>
      <c r="H16" t="b">
        <v>1</v>
      </c>
      <c r="I16" t="b">
        <v>0</v>
      </c>
      <c r="J16" s="32">
        <v>25</v>
      </c>
      <c r="K16" t="b">
        <v>1</v>
      </c>
      <c r="L16" t="s">
        <v>35</v>
      </c>
      <c r="M16" t="s">
        <v>46</v>
      </c>
    </row>
    <row r="17" spans="1:13" x14ac:dyDescent="0.25">
      <c r="A17">
        <v>16</v>
      </c>
      <c r="B17" t="s">
        <v>65</v>
      </c>
      <c r="C17" s="32">
        <v>37</v>
      </c>
      <c r="D17" t="s">
        <v>48</v>
      </c>
      <c r="E17" t="s">
        <v>32</v>
      </c>
      <c r="F17" t="s">
        <v>33</v>
      </c>
      <c r="G17" t="s">
        <v>34</v>
      </c>
      <c r="H17" t="b">
        <v>1</v>
      </c>
      <c r="I17" t="b">
        <v>0</v>
      </c>
      <c r="J17" s="32">
        <v>25</v>
      </c>
      <c r="K17" t="b">
        <v>1</v>
      </c>
      <c r="L17" t="s">
        <v>35</v>
      </c>
      <c r="M17" t="s">
        <v>46</v>
      </c>
    </row>
    <row r="18" spans="1:13" x14ac:dyDescent="0.25">
      <c r="A18">
        <v>17</v>
      </c>
      <c r="B18" t="s">
        <v>66</v>
      </c>
      <c r="C18" s="32">
        <v>38</v>
      </c>
      <c r="D18" t="s">
        <v>50</v>
      </c>
      <c r="E18" t="s">
        <v>32</v>
      </c>
      <c r="F18" t="s">
        <v>33</v>
      </c>
      <c r="G18" t="s">
        <v>34</v>
      </c>
      <c r="H18" t="b">
        <v>1</v>
      </c>
      <c r="I18" t="b">
        <v>0</v>
      </c>
      <c r="J18" s="32">
        <v>25</v>
      </c>
      <c r="K18" t="b">
        <v>1</v>
      </c>
      <c r="L18" t="s">
        <v>35</v>
      </c>
      <c r="M18" t="s">
        <v>46</v>
      </c>
    </row>
    <row r="19" spans="1:13" x14ac:dyDescent="0.25">
      <c r="A19">
        <v>18</v>
      </c>
      <c r="B19" t="s">
        <v>67</v>
      </c>
      <c r="C19" s="32">
        <v>39</v>
      </c>
      <c r="D19" t="s">
        <v>52</v>
      </c>
      <c r="E19" t="s">
        <v>32</v>
      </c>
      <c r="F19" t="s">
        <v>33</v>
      </c>
      <c r="G19" t="s">
        <v>34</v>
      </c>
      <c r="H19" t="b">
        <v>1</v>
      </c>
      <c r="I19" t="b">
        <v>0</v>
      </c>
      <c r="J19" s="32">
        <v>25</v>
      </c>
      <c r="K19" t="b">
        <v>1</v>
      </c>
      <c r="L19" t="s">
        <v>35</v>
      </c>
      <c r="M19" t="s">
        <v>46</v>
      </c>
    </row>
    <row r="20" spans="1:13" x14ac:dyDescent="0.25">
      <c r="A20">
        <v>19</v>
      </c>
      <c r="B20" t="s">
        <v>68</v>
      </c>
      <c r="C20" s="32">
        <v>40</v>
      </c>
      <c r="D20" t="s">
        <v>54</v>
      </c>
      <c r="E20" t="s">
        <v>32</v>
      </c>
      <c r="F20" t="s">
        <v>33</v>
      </c>
      <c r="G20" t="s">
        <v>34</v>
      </c>
      <c r="H20" t="b">
        <v>1</v>
      </c>
      <c r="I20" t="b">
        <v>0</v>
      </c>
      <c r="J20" s="32">
        <v>27</v>
      </c>
      <c r="K20" t="b">
        <v>1</v>
      </c>
      <c r="L20" t="s">
        <v>35</v>
      </c>
      <c r="M20" t="s">
        <v>55</v>
      </c>
    </row>
    <row r="21" spans="1:13" x14ac:dyDescent="0.25">
      <c r="A21">
        <v>20</v>
      </c>
      <c r="B21" t="s">
        <v>69</v>
      </c>
      <c r="C21" s="32">
        <v>41</v>
      </c>
      <c r="D21" t="s">
        <v>57</v>
      </c>
      <c r="E21" t="s">
        <v>32</v>
      </c>
      <c r="F21" t="s">
        <v>33</v>
      </c>
      <c r="G21" t="s">
        <v>34</v>
      </c>
      <c r="H21" t="b">
        <v>1</v>
      </c>
      <c r="I21" t="b">
        <v>0</v>
      </c>
      <c r="J21" s="32">
        <v>27</v>
      </c>
      <c r="K21" t="b">
        <v>1</v>
      </c>
      <c r="L21" t="s">
        <v>35</v>
      </c>
      <c r="M21" t="s">
        <v>55</v>
      </c>
    </row>
    <row r="22" spans="1:13" x14ac:dyDescent="0.25">
      <c r="A22">
        <v>21</v>
      </c>
      <c r="B22" t="s">
        <v>70</v>
      </c>
      <c r="C22" s="32">
        <v>42</v>
      </c>
      <c r="D22" s="10" t="s">
        <v>59</v>
      </c>
      <c r="E22" t="s">
        <v>32</v>
      </c>
      <c r="F22" t="s">
        <v>33</v>
      </c>
      <c r="G22" t="s">
        <v>34</v>
      </c>
      <c r="H22" t="b">
        <v>1</v>
      </c>
      <c r="I22" t="b">
        <v>0</v>
      </c>
      <c r="J22" s="32">
        <v>27</v>
      </c>
      <c r="K22" t="b">
        <v>1</v>
      </c>
      <c r="L22" t="s">
        <v>35</v>
      </c>
      <c r="M22" t="s">
        <v>55</v>
      </c>
    </row>
    <row r="23" spans="1:13" x14ac:dyDescent="0.25">
      <c r="A23">
        <v>22</v>
      </c>
      <c r="B23" t="s">
        <v>71</v>
      </c>
      <c r="C23" s="32">
        <v>43</v>
      </c>
      <c r="D23" t="s">
        <v>61</v>
      </c>
      <c r="E23" t="s">
        <v>32</v>
      </c>
      <c r="F23" t="s">
        <v>33</v>
      </c>
      <c r="G23" t="s">
        <v>34</v>
      </c>
      <c r="H23" t="b">
        <v>1</v>
      </c>
      <c r="I23" t="b">
        <v>0</v>
      </c>
      <c r="J23" s="32">
        <v>27</v>
      </c>
      <c r="K23" t="b">
        <v>1</v>
      </c>
      <c r="L23" t="s">
        <v>35</v>
      </c>
      <c r="M23" t="s">
        <v>55</v>
      </c>
    </row>
    <row r="24" spans="1:13" x14ac:dyDescent="0.25">
      <c r="A24">
        <v>23</v>
      </c>
      <c r="B24" t="s">
        <v>72</v>
      </c>
      <c r="C24" s="32">
        <v>49</v>
      </c>
      <c r="D24" t="s">
        <v>40</v>
      </c>
      <c r="E24" t="s">
        <v>32</v>
      </c>
      <c r="F24" t="s">
        <v>33</v>
      </c>
      <c r="G24" t="s">
        <v>34</v>
      </c>
      <c r="H24" t="b">
        <v>1</v>
      </c>
      <c r="I24" t="b">
        <v>0</v>
      </c>
      <c r="J24" s="32">
        <v>23</v>
      </c>
      <c r="K24" t="b">
        <v>1</v>
      </c>
      <c r="L24" t="s">
        <v>35</v>
      </c>
      <c r="M24" t="s">
        <v>41</v>
      </c>
    </row>
    <row r="25" spans="1:13" x14ac:dyDescent="0.25">
      <c r="A25">
        <v>24</v>
      </c>
      <c r="B25" t="s">
        <v>73</v>
      </c>
      <c r="C25" s="32">
        <v>50</v>
      </c>
      <c r="D25" t="s">
        <v>43</v>
      </c>
      <c r="E25" t="s">
        <v>32</v>
      </c>
      <c r="F25" t="s">
        <v>33</v>
      </c>
      <c r="G25" t="s">
        <v>34</v>
      </c>
      <c r="H25" t="b">
        <v>1</v>
      </c>
      <c r="I25" t="b">
        <v>0</v>
      </c>
      <c r="J25" s="32">
        <v>23</v>
      </c>
      <c r="K25" t="b">
        <v>1</v>
      </c>
      <c r="L25" t="s">
        <v>35</v>
      </c>
      <c r="M25" t="s">
        <v>41</v>
      </c>
    </row>
    <row r="26" spans="1:13" x14ac:dyDescent="0.25">
      <c r="A26">
        <v>25</v>
      </c>
      <c r="B26" t="s">
        <v>74</v>
      </c>
      <c r="C26" s="32">
        <v>51</v>
      </c>
      <c r="D26" t="s">
        <v>45</v>
      </c>
      <c r="E26" t="s">
        <v>32</v>
      </c>
      <c r="F26" t="s">
        <v>33</v>
      </c>
      <c r="G26" t="s">
        <v>34</v>
      </c>
      <c r="H26" t="b">
        <v>1</v>
      </c>
      <c r="I26" t="b">
        <v>0</v>
      </c>
      <c r="J26" s="32">
        <v>25</v>
      </c>
      <c r="K26" t="b">
        <v>1</v>
      </c>
      <c r="L26" t="s">
        <v>35</v>
      </c>
      <c r="M26" t="s">
        <v>46</v>
      </c>
    </row>
    <row r="27" spans="1:13" x14ac:dyDescent="0.25">
      <c r="A27">
        <v>26</v>
      </c>
      <c r="B27" t="s">
        <v>75</v>
      </c>
      <c r="C27" s="32">
        <v>52</v>
      </c>
      <c r="D27" t="s">
        <v>48</v>
      </c>
      <c r="E27" t="s">
        <v>32</v>
      </c>
      <c r="F27" t="s">
        <v>33</v>
      </c>
      <c r="G27" t="s">
        <v>34</v>
      </c>
      <c r="H27" t="b">
        <v>1</v>
      </c>
      <c r="I27" t="b">
        <v>0</v>
      </c>
      <c r="J27" s="32">
        <v>25</v>
      </c>
      <c r="K27" t="b">
        <v>1</v>
      </c>
      <c r="L27" t="s">
        <v>35</v>
      </c>
      <c r="M27" t="s">
        <v>46</v>
      </c>
    </row>
    <row r="28" spans="1:13" x14ac:dyDescent="0.25">
      <c r="A28">
        <v>27</v>
      </c>
      <c r="B28" t="s">
        <v>76</v>
      </c>
      <c r="C28" s="32">
        <v>53</v>
      </c>
      <c r="D28" t="s">
        <v>50</v>
      </c>
      <c r="E28" t="s">
        <v>32</v>
      </c>
      <c r="F28" t="s">
        <v>33</v>
      </c>
      <c r="G28" t="s">
        <v>34</v>
      </c>
      <c r="H28" t="b">
        <v>1</v>
      </c>
      <c r="I28" t="b">
        <v>0</v>
      </c>
      <c r="J28" s="32">
        <v>25</v>
      </c>
      <c r="K28" t="b">
        <v>1</v>
      </c>
      <c r="L28" t="s">
        <v>35</v>
      </c>
      <c r="M28" t="s">
        <v>46</v>
      </c>
    </row>
    <row r="29" spans="1:13" x14ac:dyDescent="0.25">
      <c r="A29">
        <v>28</v>
      </c>
      <c r="B29" t="s">
        <v>77</v>
      </c>
      <c r="C29" s="32">
        <v>54</v>
      </c>
      <c r="D29" t="s">
        <v>52</v>
      </c>
      <c r="E29" t="s">
        <v>32</v>
      </c>
      <c r="F29" t="s">
        <v>33</v>
      </c>
      <c r="G29" t="s">
        <v>34</v>
      </c>
      <c r="H29" t="b">
        <v>1</v>
      </c>
      <c r="I29" t="b">
        <v>0</v>
      </c>
      <c r="J29" s="32">
        <v>25</v>
      </c>
      <c r="K29" t="b">
        <v>1</v>
      </c>
      <c r="L29" t="s">
        <v>35</v>
      </c>
      <c r="M29" t="s">
        <v>46</v>
      </c>
    </row>
    <row r="30" spans="1:13" x14ac:dyDescent="0.25">
      <c r="A30">
        <v>29</v>
      </c>
      <c r="B30" t="s">
        <v>78</v>
      </c>
      <c r="C30" s="32">
        <v>55</v>
      </c>
      <c r="D30" t="s">
        <v>54</v>
      </c>
      <c r="E30" t="s">
        <v>32</v>
      </c>
      <c r="F30" t="s">
        <v>33</v>
      </c>
      <c r="G30" t="s">
        <v>34</v>
      </c>
      <c r="H30" t="b">
        <v>1</v>
      </c>
      <c r="I30" t="b">
        <v>0</v>
      </c>
      <c r="J30" s="32">
        <v>27</v>
      </c>
      <c r="K30" t="b">
        <v>1</v>
      </c>
      <c r="L30" t="s">
        <v>35</v>
      </c>
      <c r="M30" t="s">
        <v>55</v>
      </c>
    </row>
    <row r="31" spans="1:13" x14ac:dyDescent="0.25">
      <c r="A31">
        <v>30</v>
      </c>
      <c r="B31" t="s">
        <v>79</v>
      </c>
      <c r="C31" s="32">
        <v>56</v>
      </c>
      <c r="D31" t="s">
        <v>57</v>
      </c>
      <c r="E31" t="s">
        <v>32</v>
      </c>
      <c r="F31" t="s">
        <v>33</v>
      </c>
      <c r="G31" t="s">
        <v>34</v>
      </c>
      <c r="H31" t="b">
        <v>1</v>
      </c>
      <c r="I31" t="b">
        <v>0</v>
      </c>
      <c r="J31" s="32">
        <v>27</v>
      </c>
      <c r="K31" t="b">
        <v>1</v>
      </c>
      <c r="L31" t="s">
        <v>35</v>
      </c>
      <c r="M31" t="s">
        <v>55</v>
      </c>
    </row>
    <row r="32" spans="1:13" x14ac:dyDescent="0.25">
      <c r="A32">
        <v>31</v>
      </c>
      <c r="B32" t="s">
        <v>80</v>
      </c>
      <c r="C32" s="32">
        <v>57</v>
      </c>
      <c r="D32" s="10" t="s">
        <v>59</v>
      </c>
      <c r="E32" t="s">
        <v>32</v>
      </c>
      <c r="F32" t="s">
        <v>33</v>
      </c>
      <c r="G32" t="s">
        <v>34</v>
      </c>
      <c r="H32" t="b">
        <v>1</v>
      </c>
      <c r="I32" t="b">
        <v>0</v>
      </c>
      <c r="J32" s="32">
        <v>27</v>
      </c>
      <c r="K32" t="b">
        <v>1</v>
      </c>
      <c r="L32" t="s">
        <v>35</v>
      </c>
      <c r="M32" t="s">
        <v>55</v>
      </c>
    </row>
    <row r="33" spans="1:13" x14ac:dyDescent="0.25">
      <c r="A33">
        <v>32</v>
      </c>
      <c r="B33" t="s">
        <v>81</v>
      </c>
      <c r="C33" s="32">
        <v>58</v>
      </c>
      <c r="D33" t="s">
        <v>61</v>
      </c>
      <c r="E33" t="s">
        <v>32</v>
      </c>
      <c r="F33" t="s">
        <v>33</v>
      </c>
      <c r="G33" t="s">
        <v>34</v>
      </c>
      <c r="H33" t="b">
        <v>1</v>
      </c>
      <c r="I33" t="b">
        <v>0</v>
      </c>
      <c r="J33" s="32">
        <v>27</v>
      </c>
      <c r="K33" t="b">
        <v>1</v>
      </c>
      <c r="L33" t="s">
        <v>35</v>
      </c>
      <c r="M33" t="s">
        <v>55</v>
      </c>
    </row>
    <row r="34" spans="1:13" x14ac:dyDescent="0.25">
      <c r="A34">
        <v>33</v>
      </c>
      <c r="B34" t="s">
        <v>82</v>
      </c>
      <c r="C34" s="32">
        <v>64</v>
      </c>
      <c r="D34" t="s">
        <v>40</v>
      </c>
      <c r="E34" t="s">
        <v>32</v>
      </c>
      <c r="F34" t="s">
        <v>33</v>
      </c>
      <c r="G34" t="s">
        <v>34</v>
      </c>
      <c r="H34" t="b">
        <v>1</v>
      </c>
      <c r="I34" t="b">
        <v>0</v>
      </c>
      <c r="J34" s="32">
        <v>23</v>
      </c>
      <c r="K34" t="b">
        <v>1</v>
      </c>
      <c r="L34" t="s">
        <v>35</v>
      </c>
      <c r="M34" t="s">
        <v>41</v>
      </c>
    </row>
    <row r="35" spans="1:13" x14ac:dyDescent="0.25">
      <c r="A35">
        <v>34</v>
      </c>
      <c r="B35" t="s">
        <v>83</v>
      </c>
      <c r="C35" s="32">
        <v>65</v>
      </c>
      <c r="D35" t="s">
        <v>43</v>
      </c>
      <c r="E35" t="s">
        <v>32</v>
      </c>
      <c r="F35" t="s">
        <v>33</v>
      </c>
      <c r="G35" t="s">
        <v>34</v>
      </c>
      <c r="H35" t="b">
        <v>1</v>
      </c>
      <c r="I35" t="b">
        <v>0</v>
      </c>
      <c r="J35" s="32">
        <v>23</v>
      </c>
      <c r="K35" t="b">
        <v>1</v>
      </c>
      <c r="L35" t="s">
        <v>35</v>
      </c>
      <c r="M35" t="s">
        <v>41</v>
      </c>
    </row>
    <row r="36" spans="1:13" x14ac:dyDescent="0.25">
      <c r="A36">
        <v>35</v>
      </c>
      <c r="B36" t="s">
        <v>84</v>
      </c>
      <c r="C36" s="32">
        <v>66</v>
      </c>
      <c r="D36" t="s">
        <v>45</v>
      </c>
      <c r="E36" t="s">
        <v>32</v>
      </c>
      <c r="F36" t="s">
        <v>33</v>
      </c>
      <c r="G36" t="s">
        <v>34</v>
      </c>
      <c r="H36" t="b">
        <v>1</v>
      </c>
      <c r="I36" t="b">
        <v>0</v>
      </c>
      <c r="J36" s="32">
        <v>25</v>
      </c>
      <c r="K36" t="b">
        <v>1</v>
      </c>
      <c r="L36" t="s">
        <v>35</v>
      </c>
      <c r="M36" t="s">
        <v>46</v>
      </c>
    </row>
    <row r="37" spans="1:13" x14ac:dyDescent="0.25">
      <c r="A37">
        <v>36</v>
      </c>
      <c r="B37" t="s">
        <v>85</v>
      </c>
      <c r="C37" s="32">
        <v>67</v>
      </c>
      <c r="D37" t="s">
        <v>48</v>
      </c>
      <c r="E37" t="s">
        <v>32</v>
      </c>
      <c r="F37" t="s">
        <v>33</v>
      </c>
      <c r="G37" t="s">
        <v>34</v>
      </c>
      <c r="H37" t="b">
        <v>1</v>
      </c>
      <c r="I37" t="b">
        <v>0</v>
      </c>
      <c r="J37" s="32">
        <v>25</v>
      </c>
      <c r="K37" t="b">
        <v>1</v>
      </c>
      <c r="L37" t="s">
        <v>35</v>
      </c>
      <c r="M37" t="s">
        <v>46</v>
      </c>
    </row>
    <row r="38" spans="1:13" x14ac:dyDescent="0.25">
      <c r="A38">
        <v>37</v>
      </c>
      <c r="B38" t="s">
        <v>86</v>
      </c>
      <c r="C38" s="32">
        <v>68</v>
      </c>
      <c r="D38" t="s">
        <v>50</v>
      </c>
      <c r="E38" t="s">
        <v>32</v>
      </c>
      <c r="F38" t="s">
        <v>33</v>
      </c>
      <c r="G38" t="s">
        <v>34</v>
      </c>
      <c r="H38" t="b">
        <v>1</v>
      </c>
      <c r="I38" t="b">
        <v>0</v>
      </c>
      <c r="J38" s="32">
        <v>25</v>
      </c>
      <c r="K38" t="b">
        <v>1</v>
      </c>
      <c r="L38" t="s">
        <v>35</v>
      </c>
      <c r="M38" t="s">
        <v>46</v>
      </c>
    </row>
    <row r="39" spans="1:13" x14ac:dyDescent="0.25">
      <c r="A39">
        <v>38</v>
      </c>
      <c r="B39" t="s">
        <v>87</v>
      </c>
      <c r="C39" s="32">
        <v>69</v>
      </c>
      <c r="D39" t="s">
        <v>52</v>
      </c>
      <c r="E39" t="s">
        <v>32</v>
      </c>
      <c r="F39" t="s">
        <v>33</v>
      </c>
      <c r="G39" t="s">
        <v>34</v>
      </c>
      <c r="H39" t="b">
        <v>1</v>
      </c>
      <c r="I39" t="b">
        <v>0</v>
      </c>
      <c r="J39" s="32">
        <v>25</v>
      </c>
      <c r="K39" t="b">
        <v>1</v>
      </c>
      <c r="L39" t="s">
        <v>35</v>
      </c>
      <c r="M39" t="s">
        <v>46</v>
      </c>
    </row>
    <row r="40" spans="1:13" x14ac:dyDescent="0.25">
      <c r="A40">
        <v>39</v>
      </c>
      <c r="B40" t="s">
        <v>88</v>
      </c>
      <c r="C40" s="32">
        <v>70</v>
      </c>
      <c r="D40" t="s">
        <v>54</v>
      </c>
      <c r="E40" t="s">
        <v>32</v>
      </c>
      <c r="F40" t="s">
        <v>33</v>
      </c>
      <c r="G40" t="s">
        <v>34</v>
      </c>
      <c r="H40" t="b">
        <v>1</v>
      </c>
      <c r="I40" t="b">
        <v>0</v>
      </c>
      <c r="J40" s="32">
        <v>27</v>
      </c>
      <c r="K40" t="b">
        <v>1</v>
      </c>
      <c r="L40" t="s">
        <v>35</v>
      </c>
      <c r="M40" t="s">
        <v>55</v>
      </c>
    </row>
    <row r="41" spans="1:13" x14ac:dyDescent="0.25">
      <c r="A41">
        <v>40</v>
      </c>
      <c r="B41" t="s">
        <v>89</v>
      </c>
      <c r="C41" s="32">
        <v>71</v>
      </c>
      <c r="D41" t="s">
        <v>57</v>
      </c>
      <c r="E41" t="s">
        <v>32</v>
      </c>
      <c r="F41" t="s">
        <v>33</v>
      </c>
      <c r="G41" t="s">
        <v>34</v>
      </c>
      <c r="H41" t="b">
        <v>1</v>
      </c>
      <c r="I41" t="b">
        <v>0</v>
      </c>
      <c r="J41" s="32">
        <v>27</v>
      </c>
      <c r="K41" t="b">
        <v>1</v>
      </c>
      <c r="L41" t="s">
        <v>35</v>
      </c>
      <c r="M41" t="s">
        <v>55</v>
      </c>
    </row>
    <row r="42" spans="1:13" x14ac:dyDescent="0.25">
      <c r="A42">
        <v>41</v>
      </c>
      <c r="B42" t="s">
        <v>90</v>
      </c>
      <c r="C42" s="32">
        <v>72</v>
      </c>
      <c r="D42" s="10" t="s">
        <v>59</v>
      </c>
      <c r="E42" t="s">
        <v>32</v>
      </c>
      <c r="F42" t="s">
        <v>33</v>
      </c>
      <c r="G42" t="s">
        <v>34</v>
      </c>
      <c r="H42" t="b">
        <v>1</v>
      </c>
      <c r="I42" t="b">
        <v>0</v>
      </c>
      <c r="J42" s="32">
        <v>27</v>
      </c>
      <c r="K42" t="b">
        <v>1</v>
      </c>
      <c r="L42" t="s">
        <v>35</v>
      </c>
      <c r="M42" t="s">
        <v>55</v>
      </c>
    </row>
    <row r="43" spans="1:13" x14ac:dyDescent="0.25">
      <c r="A43">
        <v>42</v>
      </c>
      <c r="B43" t="s">
        <v>91</v>
      </c>
      <c r="C43" s="32">
        <v>73</v>
      </c>
      <c r="D43" t="s">
        <v>61</v>
      </c>
      <c r="E43" t="s">
        <v>32</v>
      </c>
      <c r="F43" t="s">
        <v>33</v>
      </c>
      <c r="G43" t="s">
        <v>34</v>
      </c>
      <c r="H43" t="b">
        <v>1</v>
      </c>
      <c r="I43" t="b">
        <v>0</v>
      </c>
      <c r="J43" s="32">
        <v>27</v>
      </c>
      <c r="K43" t="b">
        <v>1</v>
      </c>
      <c r="L43" t="s">
        <v>35</v>
      </c>
      <c r="M43" t="s">
        <v>55</v>
      </c>
    </row>
    <row r="44" spans="1:13" x14ac:dyDescent="0.25">
      <c r="A44">
        <v>43</v>
      </c>
      <c r="B44" t="s">
        <v>92</v>
      </c>
      <c r="C44" s="32">
        <v>80</v>
      </c>
      <c r="D44" t="s">
        <v>93</v>
      </c>
      <c r="E44" t="s">
        <v>32</v>
      </c>
      <c r="F44" t="s">
        <v>33</v>
      </c>
      <c r="G44" t="s">
        <v>34</v>
      </c>
      <c r="H44" t="b">
        <v>1</v>
      </c>
      <c r="I44" t="b">
        <v>0</v>
      </c>
      <c r="J44" s="32">
        <v>33</v>
      </c>
      <c r="K44" t="b">
        <v>1</v>
      </c>
      <c r="L44" t="s">
        <v>35</v>
      </c>
      <c r="M44" t="s">
        <v>94</v>
      </c>
    </row>
    <row r="45" spans="1:13" x14ac:dyDescent="0.25">
      <c r="A45">
        <v>44</v>
      </c>
      <c r="B45" t="s">
        <v>95</v>
      </c>
      <c r="C45" s="32">
        <v>87</v>
      </c>
      <c r="D45" t="s">
        <v>96</v>
      </c>
      <c r="E45" t="s">
        <v>32</v>
      </c>
      <c r="F45" t="s">
        <v>33</v>
      </c>
      <c r="G45" t="s">
        <v>34</v>
      </c>
      <c r="H45" t="b">
        <v>1</v>
      </c>
      <c r="I45" t="b">
        <v>0</v>
      </c>
      <c r="J45" s="32">
        <v>37</v>
      </c>
      <c r="K45" t="b">
        <v>1</v>
      </c>
      <c r="L45" t="s">
        <v>35</v>
      </c>
      <c r="M45" t="s">
        <v>97</v>
      </c>
    </row>
    <row r="46" spans="1:13" x14ac:dyDescent="0.25">
      <c r="A46">
        <v>45</v>
      </c>
      <c r="B46" t="s">
        <v>98</v>
      </c>
      <c r="C46" s="32">
        <v>88</v>
      </c>
      <c r="D46" t="s">
        <v>99</v>
      </c>
      <c r="E46" t="s">
        <v>32</v>
      </c>
      <c r="F46" t="s">
        <v>33</v>
      </c>
      <c r="G46" t="s">
        <v>34</v>
      </c>
      <c r="H46" t="b">
        <v>1</v>
      </c>
      <c r="I46" t="b">
        <v>0</v>
      </c>
      <c r="J46" s="32">
        <v>37</v>
      </c>
      <c r="K46" t="b">
        <v>1</v>
      </c>
      <c r="L46" t="s">
        <v>35</v>
      </c>
      <c r="M46" t="s">
        <v>97</v>
      </c>
    </row>
    <row r="47" spans="1:13" x14ac:dyDescent="0.25">
      <c r="A47">
        <v>46</v>
      </c>
      <c r="B47" t="s">
        <v>100</v>
      </c>
      <c r="C47" s="32">
        <v>89</v>
      </c>
      <c r="D47" t="s">
        <v>101</v>
      </c>
      <c r="E47" t="s">
        <v>32</v>
      </c>
      <c r="F47" t="s">
        <v>33</v>
      </c>
      <c r="G47" t="s">
        <v>34</v>
      </c>
      <c r="H47" t="b">
        <v>1</v>
      </c>
      <c r="I47" t="b">
        <v>0</v>
      </c>
      <c r="J47" s="32">
        <v>37</v>
      </c>
      <c r="K47" t="b">
        <v>1</v>
      </c>
      <c r="L47" t="s">
        <v>35</v>
      </c>
      <c r="M47" t="s">
        <v>97</v>
      </c>
    </row>
    <row r="48" spans="1:13" x14ac:dyDescent="0.25">
      <c r="A48">
        <v>47</v>
      </c>
      <c r="B48" t="s">
        <v>102</v>
      </c>
      <c r="C48" s="32">
        <v>96</v>
      </c>
      <c r="D48" t="s">
        <v>103</v>
      </c>
      <c r="E48" t="s">
        <v>32</v>
      </c>
      <c r="F48" t="s">
        <v>33</v>
      </c>
      <c r="G48" t="s">
        <v>34</v>
      </c>
      <c r="H48" t="b">
        <v>1</v>
      </c>
      <c r="I48" t="b">
        <v>0</v>
      </c>
      <c r="J48" s="32">
        <v>45</v>
      </c>
      <c r="K48" t="b">
        <v>1</v>
      </c>
      <c r="L48" t="s">
        <v>35</v>
      </c>
      <c r="M48" t="s">
        <v>104</v>
      </c>
    </row>
    <row r="49" spans="1:13" x14ac:dyDescent="0.25">
      <c r="A49">
        <v>48</v>
      </c>
      <c r="B49" t="s">
        <v>105</v>
      </c>
      <c r="C49" s="32">
        <v>97</v>
      </c>
      <c r="D49" t="s">
        <v>106</v>
      </c>
      <c r="E49" t="s">
        <v>32</v>
      </c>
      <c r="F49" t="s">
        <v>33</v>
      </c>
      <c r="G49" t="s">
        <v>34</v>
      </c>
      <c r="H49" t="b">
        <v>1</v>
      </c>
      <c r="I49" t="b">
        <v>0</v>
      </c>
      <c r="J49" s="32">
        <v>45</v>
      </c>
      <c r="K49" t="b">
        <v>1</v>
      </c>
      <c r="L49" t="s">
        <v>35</v>
      </c>
      <c r="M49" t="s">
        <v>104</v>
      </c>
    </row>
    <row r="50" spans="1:13" x14ac:dyDescent="0.25">
      <c r="A50">
        <v>49</v>
      </c>
      <c r="B50" t="s">
        <v>107</v>
      </c>
      <c r="C50" s="32">
        <v>98</v>
      </c>
      <c r="D50" t="s">
        <v>108</v>
      </c>
      <c r="E50" t="s">
        <v>32</v>
      </c>
      <c r="F50" t="s">
        <v>33</v>
      </c>
      <c r="G50" t="s">
        <v>34</v>
      </c>
      <c r="H50" t="b">
        <v>1</v>
      </c>
      <c r="I50" t="b">
        <v>0</v>
      </c>
      <c r="J50" s="32">
        <v>45</v>
      </c>
      <c r="K50" t="b">
        <v>1</v>
      </c>
      <c r="L50" t="s">
        <v>35</v>
      </c>
      <c r="M50" t="s">
        <v>104</v>
      </c>
    </row>
    <row r="51" spans="1:13" x14ac:dyDescent="0.25">
      <c r="A51">
        <v>50</v>
      </c>
      <c r="B51" t="s">
        <v>109</v>
      </c>
      <c r="C51" s="32">
        <v>99</v>
      </c>
      <c r="D51" t="s">
        <v>110</v>
      </c>
      <c r="E51" t="s">
        <v>32</v>
      </c>
      <c r="F51" t="s">
        <v>33</v>
      </c>
      <c r="G51" t="s">
        <v>34</v>
      </c>
      <c r="H51" t="b">
        <v>1</v>
      </c>
      <c r="I51" t="b">
        <v>0</v>
      </c>
      <c r="J51" s="32">
        <v>45</v>
      </c>
      <c r="K51" t="b">
        <v>1</v>
      </c>
      <c r="L51" t="s">
        <v>35</v>
      </c>
      <c r="M51" t="s">
        <v>104</v>
      </c>
    </row>
    <row r="52" spans="1:13" x14ac:dyDescent="0.25">
      <c r="A52">
        <v>51</v>
      </c>
      <c r="B52" t="s">
        <v>111</v>
      </c>
      <c r="C52" s="32">
        <v>100</v>
      </c>
      <c r="D52" t="s">
        <v>112</v>
      </c>
      <c r="E52" t="s">
        <v>32</v>
      </c>
      <c r="F52" t="s">
        <v>33</v>
      </c>
      <c r="G52" t="s">
        <v>34</v>
      </c>
      <c r="H52" t="b">
        <v>1</v>
      </c>
      <c r="I52" t="b">
        <v>0</v>
      </c>
      <c r="J52" s="32">
        <v>45</v>
      </c>
      <c r="K52" t="b">
        <v>1</v>
      </c>
      <c r="L52" t="s">
        <v>35</v>
      </c>
      <c r="M52" t="s">
        <v>104</v>
      </c>
    </row>
    <row r="53" spans="1:13" x14ac:dyDescent="0.25">
      <c r="A53">
        <v>52</v>
      </c>
      <c r="B53" t="s">
        <v>113</v>
      </c>
      <c r="C53" s="32">
        <v>101</v>
      </c>
      <c r="D53" t="s">
        <v>114</v>
      </c>
      <c r="E53" t="s">
        <v>32</v>
      </c>
      <c r="F53" t="s">
        <v>33</v>
      </c>
      <c r="G53" t="s">
        <v>34</v>
      </c>
      <c r="H53" t="b">
        <v>1</v>
      </c>
      <c r="I53" t="b">
        <v>0</v>
      </c>
      <c r="J53" s="32">
        <v>45</v>
      </c>
      <c r="K53" t="b">
        <v>1</v>
      </c>
      <c r="L53" t="s">
        <v>35</v>
      </c>
      <c r="M53" t="s">
        <v>104</v>
      </c>
    </row>
    <row r="54" spans="1:13" x14ac:dyDescent="0.25">
      <c r="A54">
        <v>53</v>
      </c>
      <c r="B54" t="s">
        <v>115</v>
      </c>
      <c r="C54" s="32">
        <v>112</v>
      </c>
      <c r="D54" t="s">
        <v>116</v>
      </c>
      <c r="E54" t="s">
        <v>32</v>
      </c>
      <c r="F54" t="s">
        <v>33</v>
      </c>
      <c r="G54" t="s">
        <v>34</v>
      </c>
      <c r="H54" t="b">
        <v>1</v>
      </c>
      <c r="I54" t="b">
        <v>0</v>
      </c>
      <c r="J54" s="32">
        <v>55</v>
      </c>
      <c r="K54" t="b">
        <v>1</v>
      </c>
      <c r="L54" t="s">
        <v>35</v>
      </c>
      <c r="M54" t="s">
        <v>117</v>
      </c>
    </row>
    <row r="55" spans="1:13" x14ac:dyDescent="0.25">
      <c r="A55">
        <v>54</v>
      </c>
      <c r="B55" t="s">
        <v>118</v>
      </c>
      <c r="C55" s="32">
        <v>113</v>
      </c>
      <c r="D55" t="s">
        <v>119</v>
      </c>
      <c r="E55" t="s">
        <v>32</v>
      </c>
      <c r="F55" t="s">
        <v>33</v>
      </c>
      <c r="G55" t="s">
        <v>34</v>
      </c>
      <c r="H55" t="b">
        <v>1</v>
      </c>
      <c r="I55" t="b">
        <v>0</v>
      </c>
      <c r="J55" s="32">
        <v>55</v>
      </c>
      <c r="K55" t="b">
        <v>1</v>
      </c>
      <c r="L55" t="s">
        <v>35</v>
      </c>
      <c r="M55" t="s">
        <v>117</v>
      </c>
    </row>
    <row r="56" spans="1:13" x14ac:dyDescent="0.25">
      <c r="A56">
        <v>55</v>
      </c>
      <c r="B56" t="s">
        <v>120</v>
      </c>
      <c r="C56" s="32">
        <v>114</v>
      </c>
      <c r="D56" t="s">
        <v>121</v>
      </c>
      <c r="E56" t="s">
        <v>32</v>
      </c>
      <c r="F56" t="s">
        <v>33</v>
      </c>
      <c r="G56" t="s">
        <v>34</v>
      </c>
      <c r="H56" t="b">
        <v>1</v>
      </c>
      <c r="I56" t="b">
        <v>0</v>
      </c>
      <c r="J56" s="32">
        <v>55</v>
      </c>
      <c r="K56" t="b">
        <v>1</v>
      </c>
      <c r="L56" t="s">
        <v>35</v>
      </c>
      <c r="M56" t="s">
        <v>117</v>
      </c>
    </row>
    <row r="57" spans="1:13" x14ac:dyDescent="0.25">
      <c r="A57">
        <v>56</v>
      </c>
      <c r="B57" t="s">
        <v>122</v>
      </c>
      <c r="C57" s="32">
        <v>120</v>
      </c>
      <c r="D57" t="s">
        <v>123</v>
      </c>
      <c r="E57" t="s">
        <v>32</v>
      </c>
      <c r="F57" t="s">
        <v>33</v>
      </c>
      <c r="G57" t="s">
        <v>34</v>
      </c>
      <c r="H57" t="b">
        <v>1</v>
      </c>
      <c r="I57" t="b">
        <v>0</v>
      </c>
      <c r="J57" s="32">
        <v>13</v>
      </c>
      <c r="K57" t="b">
        <v>1</v>
      </c>
      <c r="L57" t="s">
        <v>35</v>
      </c>
      <c r="M57" t="s">
        <v>124</v>
      </c>
    </row>
    <row r="58" spans="1:13" x14ac:dyDescent="0.25">
      <c r="A58">
        <v>57</v>
      </c>
      <c r="B58" t="s">
        <v>125</v>
      </c>
      <c r="C58" s="32">
        <v>124</v>
      </c>
      <c r="D58" t="s">
        <v>126</v>
      </c>
      <c r="E58" t="s">
        <v>32</v>
      </c>
      <c r="F58" t="s">
        <v>33</v>
      </c>
      <c r="G58" t="s">
        <v>34</v>
      </c>
      <c r="H58" t="b">
        <v>1</v>
      </c>
      <c r="I58" t="b">
        <v>0</v>
      </c>
      <c r="J58" s="32">
        <v>59</v>
      </c>
      <c r="K58" t="b">
        <v>1</v>
      </c>
      <c r="L58" t="s">
        <v>35</v>
      </c>
      <c r="M58" t="s">
        <v>127</v>
      </c>
    </row>
    <row r="59" spans="1:13" x14ac:dyDescent="0.25">
      <c r="A59">
        <v>58</v>
      </c>
      <c r="B59" t="s">
        <v>128</v>
      </c>
      <c r="C59" s="32">
        <v>125</v>
      </c>
      <c r="D59" t="s">
        <v>129</v>
      </c>
      <c r="E59" t="s">
        <v>32</v>
      </c>
      <c r="F59" t="s">
        <v>33</v>
      </c>
      <c r="G59" t="s">
        <v>34</v>
      </c>
      <c r="H59" t="b">
        <v>1</v>
      </c>
      <c r="I59" t="b">
        <v>0</v>
      </c>
      <c r="J59" s="32">
        <v>59</v>
      </c>
      <c r="K59" t="b">
        <v>1</v>
      </c>
      <c r="L59" t="s">
        <v>35</v>
      </c>
      <c r="M59" t="s">
        <v>127</v>
      </c>
    </row>
    <row r="60" spans="1:13" x14ac:dyDescent="0.25">
      <c r="A60">
        <v>59</v>
      </c>
      <c r="B60" t="s">
        <v>130</v>
      </c>
      <c r="C60" s="32">
        <v>126</v>
      </c>
      <c r="D60" t="s">
        <v>131</v>
      </c>
      <c r="E60" t="s">
        <v>32</v>
      </c>
      <c r="F60" t="s">
        <v>33</v>
      </c>
      <c r="G60" t="s">
        <v>34</v>
      </c>
      <c r="H60" t="b">
        <v>1</v>
      </c>
      <c r="I60" t="b">
        <v>0</v>
      </c>
      <c r="J60" s="32">
        <v>59</v>
      </c>
      <c r="K60" t="b">
        <v>1</v>
      </c>
      <c r="L60" t="s">
        <v>35</v>
      </c>
      <c r="M60" t="s">
        <v>127</v>
      </c>
    </row>
    <row r="61" spans="1:13" x14ac:dyDescent="0.25">
      <c r="A61">
        <v>60</v>
      </c>
      <c r="B61" t="s">
        <v>132</v>
      </c>
      <c r="C61" s="32">
        <v>127</v>
      </c>
      <c r="D61" t="s">
        <v>133</v>
      </c>
      <c r="E61" t="s">
        <v>32</v>
      </c>
      <c r="F61" t="s">
        <v>33</v>
      </c>
      <c r="G61" t="s">
        <v>34</v>
      </c>
      <c r="H61" t="b">
        <v>1</v>
      </c>
      <c r="I61" t="b">
        <v>0</v>
      </c>
      <c r="J61" s="32">
        <v>77</v>
      </c>
      <c r="K61" t="b">
        <v>1</v>
      </c>
      <c r="L61" t="s">
        <v>35</v>
      </c>
      <c r="M61" t="s">
        <v>134</v>
      </c>
    </row>
    <row r="62" spans="1:13" x14ac:dyDescent="0.25">
      <c r="A62">
        <v>61</v>
      </c>
      <c r="B62" t="s">
        <v>135</v>
      </c>
      <c r="C62" s="32">
        <v>128</v>
      </c>
      <c r="D62" t="s">
        <v>136</v>
      </c>
      <c r="E62" t="s">
        <v>32</v>
      </c>
      <c r="F62" t="s">
        <v>33</v>
      </c>
      <c r="G62" t="s">
        <v>34</v>
      </c>
      <c r="H62" t="b">
        <v>1</v>
      </c>
      <c r="I62" t="b">
        <v>0</v>
      </c>
      <c r="J62" s="32">
        <v>59</v>
      </c>
      <c r="K62" t="b">
        <v>1</v>
      </c>
      <c r="L62" t="s">
        <v>35</v>
      </c>
      <c r="M62" t="s">
        <v>127</v>
      </c>
    </row>
    <row r="63" spans="1:13" x14ac:dyDescent="0.25">
      <c r="A63">
        <v>62</v>
      </c>
      <c r="B63" t="s">
        <v>137</v>
      </c>
      <c r="C63" s="32">
        <v>129</v>
      </c>
      <c r="D63" t="s">
        <v>138</v>
      </c>
      <c r="E63" t="s">
        <v>32</v>
      </c>
      <c r="F63" t="s">
        <v>33</v>
      </c>
      <c r="G63" t="s">
        <v>34</v>
      </c>
      <c r="H63" t="b">
        <v>1</v>
      </c>
      <c r="I63" t="b">
        <v>0</v>
      </c>
      <c r="J63" s="32">
        <v>59</v>
      </c>
      <c r="K63" t="b">
        <v>1</v>
      </c>
      <c r="L63" t="s">
        <v>35</v>
      </c>
      <c r="M63" t="s">
        <v>127</v>
      </c>
    </row>
    <row r="64" spans="1:13" x14ac:dyDescent="0.25">
      <c r="A64">
        <v>63</v>
      </c>
      <c r="B64" t="s">
        <v>139</v>
      </c>
      <c r="C64" s="32">
        <v>130</v>
      </c>
      <c r="D64" t="s">
        <v>140</v>
      </c>
      <c r="E64" t="s">
        <v>32</v>
      </c>
      <c r="F64" t="s">
        <v>33</v>
      </c>
      <c r="G64" t="s">
        <v>34</v>
      </c>
      <c r="H64" t="b">
        <v>1</v>
      </c>
      <c r="I64" t="b">
        <v>0</v>
      </c>
      <c r="J64" s="32">
        <v>63</v>
      </c>
      <c r="K64" t="b">
        <v>1</v>
      </c>
      <c r="L64" t="s">
        <v>35</v>
      </c>
      <c r="M64" t="s">
        <v>141</v>
      </c>
    </row>
    <row r="65" spans="1:13" x14ac:dyDescent="0.25">
      <c r="A65">
        <v>64</v>
      </c>
      <c r="B65" t="s">
        <v>142</v>
      </c>
      <c r="C65" s="32">
        <v>131</v>
      </c>
      <c r="D65" t="s">
        <v>143</v>
      </c>
      <c r="E65" t="s">
        <v>32</v>
      </c>
      <c r="F65" t="s">
        <v>33</v>
      </c>
      <c r="G65" t="s">
        <v>34</v>
      </c>
      <c r="H65" t="b">
        <v>1</v>
      </c>
      <c r="I65" t="b">
        <v>0</v>
      </c>
      <c r="J65" s="32">
        <v>63</v>
      </c>
      <c r="K65" t="b">
        <v>1</v>
      </c>
      <c r="L65" t="s">
        <v>35</v>
      </c>
      <c r="M65" t="s">
        <v>141</v>
      </c>
    </row>
    <row r="66" spans="1:13" x14ac:dyDescent="0.25">
      <c r="A66">
        <v>65</v>
      </c>
      <c r="B66" t="s">
        <v>144</v>
      </c>
      <c r="C66" s="32">
        <v>144</v>
      </c>
      <c r="D66" t="s">
        <v>116</v>
      </c>
      <c r="E66" t="s">
        <v>32</v>
      </c>
      <c r="F66" t="s">
        <v>33</v>
      </c>
      <c r="G66" t="s">
        <v>34</v>
      </c>
      <c r="H66" t="b">
        <v>1</v>
      </c>
      <c r="I66" t="b">
        <v>0</v>
      </c>
      <c r="J66" s="32">
        <v>55</v>
      </c>
      <c r="K66" t="b">
        <v>1</v>
      </c>
      <c r="L66" t="s">
        <v>35</v>
      </c>
      <c r="M66" t="s">
        <v>117</v>
      </c>
    </row>
    <row r="67" spans="1:13" x14ac:dyDescent="0.25">
      <c r="A67">
        <v>66</v>
      </c>
      <c r="B67" t="s">
        <v>145</v>
      </c>
      <c r="C67" s="32">
        <v>145</v>
      </c>
      <c r="D67" t="s">
        <v>119</v>
      </c>
      <c r="E67" t="s">
        <v>32</v>
      </c>
      <c r="F67" t="s">
        <v>33</v>
      </c>
      <c r="G67" t="s">
        <v>34</v>
      </c>
      <c r="H67" t="b">
        <v>1</v>
      </c>
      <c r="I67" t="b">
        <v>0</v>
      </c>
      <c r="J67" s="32">
        <v>55</v>
      </c>
      <c r="K67" t="b">
        <v>1</v>
      </c>
      <c r="L67" t="s">
        <v>35</v>
      </c>
      <c r="M67" t="s">
        <v>117</v>
      </c>
    </row>
    <row r="68" spans="1:13" x14ac:dyDescent="0.25">
      <c r="A68">
        <v>67</v>
      </c>
      <c r="B68" t="s">
        <v>146</v>
      </c>
      <c r="C68" s="32">
        <v>146</v>
      </c>
      <c r="D68" t="s">
        <v>121</v>
      </c>
      <c r="E68" t="s">
        <v>32</v>
      </c>
      <c r="F68" t="s">
        <v>33</v>
      </c>
      <c r="G68" t="s">
        <v>34</v>
      </c>
      <c r="H68" t="b">
        <v>1</v>
      </c>
      <c r="I68" t="b">
        <v>0</v>
      </c>
      <c r="J68" s="32">
        <v>55</v>
      </c>
      <c r="K68" t="b">
        <v>1</v>
      </c>
      <c r="L68" t="s">
        <v>35</v>
      </c>
      <c r="M68" t="s">
        <v>117</v>
      </c>
    </row>
    <row r="69" spans="1:13" x14ac:dyDescent="0.25">
      <c r="A69">
        <v>68</v>
      </c>
      <c r="B69" t="s">
        <v>147</v>
      </c>
      <c r="C69" s="32">
        <v>152</v>
      </c>
      <c r="D69" t="s">
        <v>123</v>
      </c>
      <c r="E69" t="s">
        <v>32</v>
      </c>
      <c r="F69" t="s">
        <v>33</v>
      </c>
      <c r="G69" t="s">
        <v>34</v>
      </c>
      <c r="H69" t="b">
        <v>1</v>
      </c>
      <c r="I69" t="b">
        <v>0</v>
      </c>
      <c r="J69" s="32">
        <v>13</v>
      </c>
      <c r="K69" t="b">
        <v>1</v>
      </c>
      <c r="L69" t="s">
        <v>35</v>
      </c>
      <c r="M69" t="s">
        <v>124</v>
      </c>
    </row>
    <row r="70" spans="1:13" x14ac:dyDescent="0.25">
      <c r="A70">
        <v>69</v>
      </c>
      <c r="B70" t="s">
        <v>148</v>
      </c>
      <c r="C70" s="32">
        <v>156</v>
      </c>
      <c r="D70" t="s">
        <v>126</v>
      </c>
      <c r="E70" t="s">
        <v>32</v>
      </c>
      <c r="F70" t="s">
        <v>33</v>
      </c>
      <c r="G70" t="s">
        <v>34</v>
      </c>
      <c r="H70" t="b">
        <v>1</v>
      </c>
      <c r="I70" t="b">
        <v>0</v>
      </c>
      <c r="J70" s="32">
        <v>59</v>
      </c>
      <c r="K70" t="b">
        <v>1</v>
      </c>
      <c r="L70" t="s">
        <v>35</v>
      </c>
      <c r="M70" t="s">
        <v>127</v>
      </c>
    </row>
    <row r="71" spans="1:13" x14ac:dyDescent="0.25">
      <c r="A71">
        <v>70</v>
      </c>
      <c r="B71" t="s">
        <v>149</v>
      </c>
      <c r="C71" s="32">
        <v>157</v>
      </c>
      <c r="D71" t="s">
        <v>129</v>
      </c>
      <c r="E71" t="s">
        <v>32</v>
      </c>
      <c r="F71" t="s">
        <v>33</v>
      </c>
      <c r="G71" t="s">
        <v>34</v>
      </c>
      <c r="H71" t="b">
        <v>1</v>
      </c>
      <c r="I71" t="b">
        <v>0</v>
      </c>
      <c r="J71" s="32">
        <v>59</v>
      </c>
      <c r="K71" t="b">
        <v>1</v>
      </c>
      <c r="L71" t="s">
        <v>35</v>
      </c>
      <c r="M71" t="s">
        <v>127</v>
      </c>
    </row>
    <row r="72" spans="1:13" x14ac:dyDescent="0.25">
      <c r="A72">
        <v>71</v>
      </c>
      <c r="B72" t="s">
        <v>150</v>
      </c>
      <c r="C72" s="32">
        <v>158</v>
      </c>
      <c r="D72" t="s">
        <v>131</v>
      </c>
      <c r="E72" t="s">
        <v>32</v>
      </c>
      <c r="F72" t="s">
        <v>33</v>
      </c>
      <c r="G72" t="s">
        <v>34</v>
      </c>
      <c r="H72" t="b">
        <v>1</v>
      </c>
      <c r="I72" t="b">
        <v>0</v>
      </c>
      <c r="J72" s="32">
        <v>59</v>
      </c>
      <c r="K72" t="b">
        <v>1</v>
      </c>
      <c r="L72" t="s">
        <v>35</v>
      </c>
      <c r="M72" t="s">
        <v>127</v>
      </c>
    </row>
    <row r="73" spans="1:13" x14ac:dyDescent="0.25">
      <c r="A73">
        <v>72</v>
      </c>
      <c r="B73" t="s">
        <v>151</v>
      </c>
      <c r="C73" s="32">
        <v>159</v>
      </c>
      <c r="D73" t="s">
        <v>133</v>
      </c>
      <c r="E73" t="s">
        <v>32</v>
      </c>
      <c r="F73" t="s">
        <v>33</v>
      </c>
      <c r="G73" t="s">
        <v>34</v>
      </c>
      <c r="H73" t="b">
        <v>1</v>
      </c>
      <c r="I73" t="b">
        <v>0</v>
      </c>
      <c r="J73" s="32">
        <v>77</v>
      </c>
      <c r="K73" t="b">
        <v>1</v>
      </c>
      <c r="L73" t="s">
        <v>35</v>
      </c>
      <c r="M73" t="s">
        <v>134</v>
      </c>
    </row>
    <row r="74" spans="1:13" x14ac:dyDescent="0.25">
      <c r="A74">
        <v>73</v>
      </c>
      <c r="B74" t="s">
        <v>152</v>
      </c>
      <c r="C74" s="32">
        <v>160</v>
      </c>
      <c r="D74" t="s">
        <v>136</v>
      </c>
      <c r="E74" t="s">
        <v>32</v>
      </c>
      <c r="F74" t="s">
        <v>33</v>
      </c>
      <c r="G74" t="s">
        <v>34</v>
      </c>
      <c r="H74" t="b">
        <v>1</v>
      </c>
      <c r="I74" t="b">
        <v>0</v>
      </c>
      <c r="J74" s="32">
        <v>59</v>
      </c>
      <c r="K74" t="b">
        <v>1</v>
      </c>
      <c r="L74" t="s">
        <v>35</v>
      </c>
      <c r="M74" t="s">
        <v>127</v>
      </c>
    </row>
    <row r="75" spans="1:13" x14ac:dyDescent="0.25">
      <c r="A75">
        <v>74</v>
      </c>
      <c r="B75" t="s">
        <v>153</v>
      </c>
      <c r="C75" s="32">
        <v>161</v>
      </c>
      <c r="D75" t="s">
        <v>138</v>
      </c>
      <c r="E75" t="s">
        <v>32</v>
      </c>
      <c r="F75" t="s">
        <v>33</v>
      </c>
      <c r="G75" t="s">
        <v>34</v>
      </c>
      <c r="H75" t="b">
        <v>1</v>
      </c>
      <c r="I75" t="b">
        <v>0</v>
      </c>
      <c r="J75" s="32">
        <v>59</v>
      </c>
      <c r="K75" t="b">
        <v>1</v>
      </c>
      <c r="L75" t="s">
        <v>35</v>
      </c>
      <c r="M75" t="s">
        <v>127</v>
      </c>
    </row>
    <row r="76" spans="1:13" x14ac:dyDescent="0.25">
      <c r="A76">
        <v>75</v>
      </c>
      <c r="B76" t="s">
        <v>154</v>
      </c>
      <c r="C76" s="32">
        <v>162</v>
      </c>
      <c r="D76" t="s">
        <v>140</v>
      </c>
      <c r="E76" t="s">
        <v>32</v>
      </c>
      <c r="F76" t="s">
        <v>33</v>
      </c>
      <c r="G76" t="s">
        <v>34</v>
      </c>
      <c r="H76" t="b">
        <v>1</v>
      </c>
      <c r="I76" t="b">
        <v>0</v>
      </c>
      <c r="J76" s="32">
        <v>63</v>
      </c>
      <c r="K76" t="b">
        <v>1</v>
      </c>
      <c r="L76" t="s">
        <v>35</v>
      </c>
      <c r="M76" t="s">
        <v>141</v>
      </c>
    </row>
    <row r="77" spans="1:13" x14ac:dyDescent="0.25">
      <c r="A77">
        <v>76</v>
      </c>
      <c r="B77" t="s">
        <v>155</v>
      </c>
      <c r="C77" s="32">
        <v>163</v>
      </c>
      <c r="D77" t="s">
        <v>143</v>
      </c>
      <c r="E77" t="s">
        <v>32</v>
      </c>
      <c r="F77" t="s">
        <v>33</v>
      </c>
      <c r="G77" t="s">
        <v>34</v>
      </c>
      <c r="H77" t="b">
        <v>1</v>
      </c>
      <c r="I77" t="b">
        <v>0</v>
      </c>
      <c r="J77" s="32">
        <v>63</v>
      </c>
      <c r="K77" t="b">
        <v>1</v>
      </c>
      <c r="L77" t="s">
        <v>35</v>
      </c>
      <c r="M77" t="s">
        <v>141</v>
      </c>
    </row>
    <row r="78" spans="1:13" x14ac:dyDescent="0.25">
      <c r="A78">
        <v>77</v>
      </c>
      <c r="B78" t="s">
        <v>156</v>
      </c>
      <c r="C78" s="32">
        <v>176</v>
      </c>
      <c r="D78" t="s">
        <v>116</v>
      </c>
      <c r="E78" t="s">
        <v>32</v>
      </c>
      <c r="F78" t="s">
        <v>33</v>
      </c>
      <c r="G78" t="s">
        <v>34</v>
      </c>
      <c r="H78" t="b">
        <v>1</v>
      </c>
      <c r="I78" t="b">
        <v>0</v>
      </c>
      <c r="J78" s="32">
        <v>55</v>
      </c>
      <c r="K78" t="b">
        <v>1</v>
      </c>
      <c r="L78" t="s">
        <v>35</v>
      </c>
      <c r="M78" t="s">
        <v>117</v>
      </c>
    </row>
    <row r="79" spans="1:13" x14ac:dyDescent="0.25">
      <c r="A79">
        <v>78</v>
      </c>
      <c r="B79" t="s">
        <v>157</v>
      </c>
      <c r="C79" s="32">
        <v>177</v>
      </c>
      <c r="D79" t="s">
        <v>119</v>
      </c>
      <c r="E79" t="s">
        <v>32</v>
      </c>
      <c r="F79" t="s">
        <v>33</v>
      </c>
      <c r="G79" t="s">
        <v>34</v>
      </c>
      <c r="H79" t="b">
        <v>1</v>
      </c>
      <c r="I79" t="b">
        <v>0</v>
      </c>
      <c r="J79" s="32">
        <v>55</v>
      </c>
      <c r="K79" t="b">
        <v>1</v>
      </c>
      <c r="L79" t="s">
        <v>35</v>
      </c>
      <c r="M79" t="s">
        <v>117</v>
      </c>
    </row>
    <row r="80" spans="1:13" x14ac:dyDescent="0.25">
      <c r="A80">
        <v>79</v>
      </c>
      <c r="B80" t="s">
        <v>158</v>
      </c>
      <c r="C80" s="32">
        <v>178</v>
      </c>
      <c r="D80" t="s">
        <v>121</v>
      </c>
      <c r="E80" t="s">
        <v>32</v>
      </c>
      <c r="F80" t="s">
        <v>33</v>
      </c>
      <c r="G80" t="s">
        <v>34</v>
      </c>
      <c r="H80" t="b">
        <v>1</v>
      </c>
      <c r="I80" t="b">
        <v>0</v>
      </c>
      <c r="J80" s="32">
        <v>55</v>
      </c>
      <c r="K80" t="b">
        <v>1</v>
      </c>
      <c r="L80" t="s">
        <v>35</v>
      </c>
      <c r="M80" t="s">
        <v>117</v>
      </c>
    </row>
    <row r="81" spans="1:13" x14ac:dyDescent="0.25">
      <c r="A81">
        <v>80</v>
      </c>
      <c r="B81" t="s">
        <v>159</v>
      </c>
      <c r="C81" s="32">
        <v>184</v>
      </c>
      <c r="D81" t="s">
        <v>123</v>
      </c>
      <c r="E81" t="s">
        <v>32</v>
      </c>
      <c r="F81" t="s">
        <v>33</v>
      </c>
      <c r="G81" t="s">
        <v>34</v>
      </c>
      <c r="H81" t="b">
        <v>1</v>
      </c>
      <c r="I81" t="b">
        <v>0</v>
      </c>
      <c r="J81" s="32">
        <v>13</v>
      </c>
      <c r="K81" t="b">
        <v>1</v>
      </c>
      <c r="L81" t="s">
        <v>35</v>
      </c>
      <c r="M81" t="s">
        <v>124</v>
      </c>
    </row>
    <row r="82" spans="1:13" x14ac:dyDescent="0.25">
      <c r="A82">
        <v>81</v>
      </c>
      <c r="B82" t="s">
        <v>160</v>
      </c>
      <c r="C82" s="32">
        <v>188</v>
      </c>
      <c r="D82" t="s">
        <v>126</v>
      </c>
      <c r="E82" t="s">
        <v>32</v>
      </c>
      <c r="F82" t="s">
        <v>33</v>
      </c>
      <c r="G82" t="s">
        <v>34</v>
      </c>
      <c r="H82" t="b">
        <v>1</v>
      </c>
      <c r="I82" t="b">
        <v>0</v>
      </c>
      <c r="J82" s="32">
        <v>59</v>
      </c>
      <c r="K82" t="b">
        <v>1</v>
      </c>
      <c r="L82" t="s">
        <v>35</v>
      </c>
      <c r="M82" t="s">
        <v>127</v>
      </c>
    </row>
    <row r="83" spans="1:13" x14ac:dyDescent="0.25">
      <c r="A83">
        <v>82</v>
      </c>
      <c r="B83" t="s">
        <v>161</v>
      </c>
      <c r="C83" s="32">
        <v>189</v>
      </c>
      <c r="D83" t="s">
        <v>129</v>
      </c>
      <c r="E83" t="s">
        <v>32</v>
      </c>
      <c r="F83" t="s">
        <v>33</v>
      </c>
      <c r="G83" t="s">
        <v>34</v>
      </c>
      <c r="H83" t="b">
        <v>1</v>
      </c>
      <c r="I83" t="b">
        <v>0</v>
      </c>
      <c r="J83" s="32">
        <v>59</v>
      </c>
      <c r="K83" t="b">
        <v>1</v>
      </c>
      <c r="L83" t="s">
        <v>35</v>
      </c>
      <c r="M83" t="s">
        <v>127</v>
      </c>
    </row>
    <row r="84" spans="1:13" x14ac:dyDescent="0.25">
      <c r="A84">
        <v>83</v>
      </c>
      <c r="B84" t="s">
        <v>162</v>
      </c>
      <c r="C84" s="32">
        <v>190</v>
      </c>
      <c r="D84" t="s">
        <v>131</v>
      </c>
      <c r="E84" t="s">
        <v>32</v>
      </c>
      <c r="F84" t="s">
        <v>33</v>
      </c>
      <c r="G84" t="s">
        <v>34</v>
      </c>
      <c r="H84" t="b">
        <v>1</v>
      </c>
      <c r="I84" t="b">
        <v>0</v>
      </c>
      <c r="J84" s="32">
        <v>59</v>
      </c>
      <c r="K84" t="b">
        <v>1</v>
      </c>
      <c r="L84" t="s">
        <v>35</v>
      </c>
      <c r="M84" t="s">
        <v>127</v>
      </c>
    </row>
    <row r="85" spans="1:13" x14ac:dyDescent="0.25">
      <c r="A85">
        <v>84</v>
      </c>
      <c r="B85" t="s">
        <v>163</v>
      </c>
      <c r="C85" s="32">
        <v>191</v>
      </c>
      <c r="D85" t="s">
        <v>133</v>
      </c>
      <c r="E85" t="s">
        <v>32</v>
      </c>
      <c r="F85" t="s">
        <v>33</v>
      </c>
      <c r="G85" t="s">
        <v>34</v>
      </c>
      <c r="H85" t="b">
        <v>1</v>
      </c>
      <c r="I85" t="b">
        <v>0</v>
      </c>
      <c r="J85" s="32">
        <v>77</v>
      </c>
      <c r="K85" t="b">
        <v>1</v>
      </c>
      <c r="L85" t="s">
        <v>35</v>
      </c>
      <c r="M85" t="s">
        <v>134</v>
      </c>
    </row>
    <row r="86" spans="1:13" x14ac:dyDescent="0.25">
      <c r="A86">
        <v>85</v>
      </c>
      <c r="B86" t="s">
        <v>164</v>
      </c>
      <c r="C86" s="32">
        <v>192</v>
      </c>
      <c r="D86" t="s">
        <v>136</v>
      </c>
      <c r="E86" t="s">
        <v>32</v>
      </c>
      <c r="F86" t="s">
        <v>33</v>
      </c>
      <c r="G86" t="s">
        <v>34</v>
      </c>
      <c r="H86" t="b">
        <v>1</v>
      </c>
      <c r="I86" t="b">
        <v>0</v>
      </c>
      <c r="J86" s="32">
        <v>59</v>
      </c>
      <c r="K86" t="b">
        <v>1</v>
      </c>
      <c r="L86" t="s">
        <v>35</v>
      </c>
      <c r="M86" t="s">
        <v>127</v>
      </c>
    </row>
    <row r="87" spans="1:13" x14ac:dyDescent="0.25">
      <c r="A87">
        <v>86</v>
      </c>
      <c r="B87" t="s">
        <v>165</v>
      </c>
      <c r="C87" s="32">
        <v>193</v>
      </c>
      <c r="D87" t="s">
        <v>138</v>
      </c>
      <c r="E87" t="s">
        <v>32</v>
      </c>
      <c r="F87" t="s">
        <v>33</v>
      </c>
      <c r="G87" t="s">
        <v>34</v>
      </c>
      <c r="H87" t="b">
        <v>1</v>
      </c>
      <c r="I87" t="b">
        <v>0</v>
      </c>
      <c r="J87" s="32">
        <v>59</v>
      </c>
      <c r="K87" t="b">
        <v>1</v>
      </c>
      <c r="L87" t="s">
        <v>35</v>
      </c>
      <c r="M87" t="s">
        <v>127</v>
      </c>
    </row>
    <row r="88" spans="1:13" x14ac:dyDescent="0.25">
      <c r="A88">
        <v>87</v>
      </c>
      <c r="B88" t="s">
        <v>166</v>
      </c>
      <c r="C88" s="32">
        <v>194</v>
      </c>
      <c r="D88" t="s">
        <v>140</v>
      </c>
      <c r="E88" t="s">
        <v>32</v>
      </c>
      <c r="F88" t="s">
        <v>33</v>
      </c>
      <c r="G88" t="s">
        <v>34</v>
      </c>
      <c r="H88" t="b">
        <v>1</v>
      </c>
      <c r="I88" t="b">
        <v>0</v>
      </c>
      <c r="J88" s="32">
        <v>63</v>
      </c>
      <c r="K88" t="b">
        <v>1</v>
      </c>
      <c r="L88" t="s">
        <v>35</v>
      </c>
      <c r="M88" t="s">
        <v>141</v>
      </c>
    </row>
    <row r="89" spans="1:13" x14ac:dyDescent="0.25">
      <c r="A89">
        <v>88</v>
      </c>
      <c r="B89" t="s">
        <v>167</v>
      </c>
      <c r="C89" s="32">
        <v>195</v>
      </c>
      <c r="D89" t="s">
        <v>143</v>
      </c>
      <c r="E89" t="s">
        <v>32</v>
      </c>
      <c r="F89" t="s">
        <v>33</v>
      </c>
      <c r="G89" t="s">
        <v>34</v>
      </c>
      <c r="H89" t="b">
        <v>1</v>
      </c>
      <c r="I89" t="b">
        <v>0</v>
      </c>
      <c r="J89" s="32">
        <v>63</v>
      </c>
      <c r="K89" t="b">
        <v>1</v>
      </c>
      <c r="L89" t="s">
        <v>35</v>
      </c>
      <c r="M89" t="s">
        <v>141</v>
      </c>
    </row>
    <row r="90" spans="1:13" x14ac:dyDescent="0.25">
      <c r="A90">
        <v>89</v>
      </c>
      <c r="B90" t="s">
        <v>168</v>
      </c>
      <c r="C90" s="32">
        <v>208</v>
      </c>
      <c r="D90" t="s">
        <v>116</v>
      </c>
      <c r="E90" t="s">
        <v>32</v>
      </c>
      <c r="F90" t="s">
        <v>33</v>
      </c>
      <c r="G90" t="s">
        <v>34</v>
      </c>
      <c r="H90" t="b">
        <v>1</v>
      </c>
      <c r="I90" t="b">
        <v>0</v>
      </c>
      <c r="J90" s="32">
        <v>55</v>
      </c>
      <c r="K90" t="b">
        <v>1</v>
      </c>
      <c r="L90" t="s">
        <v>35</v>
      </c>
      <c r="M90" t="s">
        <v>117</v>
      </c>
    </row>
    <row r="91" spans="1:13" x14ac:dyDescent="0.25">
      <c r="A91">
        <v>90</v>
      </c>
      <c r="B91" t="s">
        <v>169</v>
      </c>
      <c r="C91" s="32">
        <v>209</v>
      </c>
      <c r="D91" t="s">
        <v>119</v>
      </c>
      <c r="E91" t="s">
        <v>32</v>
      </c>
      <c r="F91" t="s">
        <v>33</v>
      </c>
      <c r="G91" t="s">
        <v>34</v>
      </c>
      <c r="H91" t="b">
        <v>1</v>
      </c>
      <c r="I91" t="b">
        <v>0</v>
      </c>
      <c r="J91" s="32">
        <v>55</v>
      </c>
      <c r="K91" t="b">
        <v>1</v>
      </c>
      <c r="L91" t="s">
        <v>35</v>
      </c>
      <c r="M91" t="s">
        <v>117</v>
      </c>
    </row>
    <row r="92" spans="1:13" x14ac:dyDescent="0.25">
      <c r="A92">
        <v>91</v>
      </c>
      <c r="B92" t="s">
        <v>170</v>
      </c>
      <c r="C92" s="32">
        <v>210</v>
      </c>
      <c r="D92" t="s">
        <v>121</v>
      </c>
      <c r="E92" t="s">
        <v>32</v>
      </c>
      <c r="F92" t="s">
        <v>33</v>
      </c>
      <c r="G92" t="s">
        <v>34</v>
      </c>
      <c r="H92" t="b">
        <v>1</v>
      </c>
      <c r="I92" t="b">
        <v>0</v>
      </c>
      <c r="J92" s="32">
        <v>55</v>
      </c>
      <c r="K92" t="b">
        <v>1</v>
      </c>
      <c r="L92" t="s">
        <v>35</v>
      </c>
      <c r="M92" t="s">
        <v>117</v>
      </c>
    </row>
    <row r="93" spans="1:13" x14ac:dyDescent="0.25">
      <c r="A93">
        <v>92</v>
      </c>
      <c r="B93" t="s">
        <v>171</v>
      </c>
      <c r="C93" s="32">
        <v>216</v>
      </c>
      <c r="D93" t="s">
        <v>123</v>
      </c>
      <c r="E93" t="s">
        <v>32</v>
      </c>
      <c r="F93" t="s">
        <v>33</v>
      </c>
      <c r="G93" t="s">
        <v>34</v>
      </c>
      <c r="H93" t="b">
        <v>1</v>
      </c>
      <c r="I93" t="b">
        <v>0</v>
      </c>
      <c r="J93" s="32">
        <v>13</v>
      </c>
      <c r="K93" t="b">
        <v>1</v>
      </c>
      <c r="L93" t="s">
        <v>35</v>
      </c>
      <c r="M93" t="s">
        <v>124</v>
      </c>
    </row>
    <row r="94" spans="1:13" x14ac:dyDescent="0.25">
      <c r="A94">
        <v>93</v>
      </c>
      <c r="B94" t="s">
        <v>172</v>
      </c>
      <c r="C94" s="32">
        <v>220</v>
      </c>
      <c r="D94" t="s">
        <v>126</v>
      </c>
      <c r="E94" t="s">
        <v>32</v>
      </c>
      <c r="F94" t="s">
        <v>33</v>
      </c>
      <c r="G94" t="s">
        <v>34</v>
      </c>
      <c r="H94" t="b">
        <v>1</v>
      </c>
      <c r="I94" t="b">
        <v>0</v>
      </c>
      <c r="J94" s="32">
        <v>59</v>
      </c>
      <c r="K94" t="b">
        <v>1</v>
      </c>
      <c r="L94" t="s">
        <v>35</v>
      </c>
      <c r="M94" t="s">
        <v>127</v>
      </c>
    </row>
    <row r="95" spans="1:13" x14ac:dyDescent="0.25">
      <c r="A95">
        <v>94</v>
      </c>
      <c r="B95" t="s">
        <v>173</v>
      </c>
      <c r="C95" s="32">
        <v>221</v>
      </c>
      <c r="D95" t="s">
        <v>129</v>
      </c>
      <c r="E95" t="s">
        <v>32</v>
      </c>
      <c r="F95" t="s">
        <v>33</v>
      </c>
      <c r="G95" t="s">
        <v>34</v>
      </c>
      <c r="H95" t="b">
        <v>1</v>
      </c>
      <c r="I95" t="b">
        <v>0</v>
      </c>
      <c r="J95" s="32">
        <v>59</v>
      </c>
      <c r="K95" t="b">
        <v>1</v>
      </c>
      <c r="L95" t="s">
        <v>35</v>
      </c>
      <c r="M95" t="s">
        <v>127</v>
      </c>
    </row>
    <row r="96" spans="1:13" x14ac:dyDescent="0.25">
      <c r="A96">
        <v>95</v>
      </c>
      <c r="B96" t="s">
        <v>174</v>
      </c>
      <c r="C96" s="32">
        <v>222</v>
      </c>
      <c r="D96" t="s">
        <v>131</v>
      </c>
      <c r="E96" t="s">
        <v>32</v>
      </c>
      <c r="F96" t="s">
        <v>33</v>
      </c>
      <c r="G96" t="s">
        <v>34</v>
      </c>
      <c r="H96" t="b">
        <v>1</v>
      </c>
      <c r="I96" t="b">
        <v>0</v>
      </c>
      <c r="J96" s="32">
        <v>59</v>
      </c>
      <c r="K96" t="b">
        <v>1</v>
      </c>
      <c r="L96" t="s">
        <v>35</v>
      </c>
      <c r="M96" t="s">
        <v>127</v>
      </c>
    </row>
    <row r="97" spans="1:13" x14ac:dyDescent="0.25">
      <c r="A97">
        <v>96</v>
      </c>
      <c r="B97" t="s">
        <v>175</v>
      </c>
      <c r="C97" s="32">
        <v>223</v>
      </c>
      <c r="D97" t="s">
        <v>133</v>
      </c>
      <c r="E97" t="s">
        <v>32</v>
      </c>
      <c r="F97" t="s">
        <v>33</v>
      </c>
      <c r="G97" t="s">
        <v>34</v>
      </c>
      <c r="H97" t="b">
        <v>1</v>
      </c>
      <c r="I97" t="b">
        <v>0</v>
      </c>
      <c r="J97" s="32">
        <v>77</v>
      </c>
      <c r="K97" t="b">
        <v>1</v>
      </c>
      <c r="L97" t="s">
        <v>35</v>
      </c>
      <c r="M97" t="s">
        <v>134</v>
      </c>
    </row>
    <row r="98" spans="1:13" x14ac:dyDescent="0.25">
      <c r="A98">
        <v>97</v>
      </c>
      <c r="B98" t="s">
        <v>176</v>
      </c>
      <c r="C98" s="32">
        <v>224</v>
      </c>
      <c r="D98" t="s">
        <v>136</v>
      </c>
      <c r="E98" t="s">
        <v>32</v>
      </c>
      <c r="F98" t="s">
        <v>33</v>
      </c>
      <c r="G98" t="s">
        <v>34</v>
      </c>
      <c r="H98" t="b">
        <v>1</v>
      </c>
      <c r="I98" t="b">
        <v>0</v>
      </c>
      <c r="J98" s="32">
        <v>59</v>
      </c>
      <c r="K98" t="b">
        <v>1</v>
      </c>
      <c r="L98" t="s">
        <v>35</v>
      </c>
      <c r="M98" t="s">
        <v>127</v>
      </c>
    </row>
    <row r="99" spans="1:13" x14ac:dyDescent="0.25">
      <c r="A99">
        <v>98</v>
      </c>
      <c r="B99" t="s">
        <v>177</v>
      </c>
      <c r="C99" s="32">
        <v>225</v>
      </c>
      <c r="D99" t="s">
        <v>138</v>
      </c>
      <c r="E99" t="s">
        <v>32</v>
      </c>
      <c r="F99" t="s">
        <v>33</v>
      </c>
      <c r="G99" t="s">
        <v>34</v>
      </c>
      <c r="H99" t="b">
        <v>1</v>
      </c>
      <c r="I99" t="b">
        <v>0</v>
      </c>
      <c r="J99" s="32">
        <v>59</v>
      </c>
      <c r="K99" t="b">
        <v>1</v>
      </c>
      <c r="L99" t="s">
        <v>35</v>
      </c>
      <c r="M99" t="s">
        <v>127</v>
      </c>
    </row>
    <row r="100" spans="1:13" x14ac:dyDescent="0.25">
      <c r="A100">
        <v>99</v>
      </c>
      <c r="B100" t="s">
        <v>178</v>
      </c>
      <c r="C100" s="32">
        <v>226</v>
      </c>
      <c r="D100" t="s">
        <v>140</v>
      </c>
      <c r="E100" t="s">
        <v>32</v>
      </c>
      <c r="F100" t="s">
        <v>33</v>
      </c>
      <c r="G100" t="s">
        <v>34</v>
      </c>
      <c r="H100" t="b">
        <v>1</v>
      </c>
      <c r="I100" t="b">
        <v>0</v>
      </c>
      <c r="J100" s="32">
        <v>63</v>
      </c>
      <c r="K100" t="b">
        <v>1</v>
      </c>
      <c r="L100" t="s">
        <v>35</v>
      </c>
      <c r="M100" t="s">
        <v>141</v>
      </c>
    </row>
    <row r="101" spans="1:13" x14ac:dyDescent="0.25">
      <c r="A101">
        <v>100</v>
      </c>
      <c r="B101" t="s">
        <v>179</v>
      </c>
      <c r="C101" s="32">
        <v>227</v>
      </c>
      <c r="D101" t="s">
        <v>143</v>
      </c>
      <c r="E101" t="s">
        <v>32</v>
      </c>
      <c r="F101" t="s">
        <v>33</v>
      </c>
      <c r="G101" t="s">
        <v>34</v>
      </c>
      <c r="H101" t="b">
        <v>1</v>
      </c>
      <c r="I101" t="b">
        <v>0</v>
      </c>
      <c r="J101" s="32">
        <v>63</v>
      </c>
      <c r="K101" t="b">
        <v>1</v>
      </c>
      <c r="L101" t="s">
        <v>35</v>
      </c>
      <c r="M101" t="s">
        <v>141</v>
      </c>
    </row>
    <row r="102" spans="1:13" x14ac:dyDescent="0.25">
      <c r="A102">
        <v>101</v>
      </c>
      <c r="B102" t="s">
        <v>180</v>
      </c>
      <c r="C102" s="32">
        <v>240</v>
      </c>
      <c r="D102" t="s">
        <v>116</v>
      </c>
      <c r="E102" t="s">
        <v>32</v>
      </c>
      <c r="F102" t="s">
        <v>33</v>
      </c>
      <c r="G102" t="s">
        <v>34</v>
      </c>
      <c r="H102" t="b">
        <v>1</v>
      </c>
      <c r="I102" t="b">
        <v>0</v>
      </c>
      <c r="J102" s="32">
        <v>55</v>
      </c>
      <c r="K102" t="b">
        <v>1</v>
      </c>
      <c r="L102" t="s">
        <v>35</v>
      </c>
      <c r="M102" t="s">
        <v>117</v>
      </c>
    </row>
    <row r="103" spans="1:13" x14ac:dyDescent="0.25">
      <c r="A103">
        <v>102</v>
      </c>
      <c r="B103" t="s">
        <v>181</v>
      </c>
      <c r="C103" s="32">
        <v>241</v>
      </c>
      <c r="D103" t="s">
        <v>119</v>
      </c>
      <c r="E103" t="s">
        <v>32</v>
      </c>
      <c r="F103" t="s">
        <v>33</v>
      </c>
      <c r="G103" t="s">
        <v>34</v>
      </c>
      <c r="H103" t="b">
        <v>1</v>
      </c>
      <c r="I103" t="b">
        <v>0</v>
      </c>
      <c r="J103" s="32">
        <v>55</v>
      </c>
      <c r="K103" t="b">
        <v>1</v>
      </c>
      <c r="L103" t="s">
        <v>35</v>
      </c>
      <c r="M103" t="s">
        <v>117</v>
      </c>
    </row>
    <row r="104" spans="1:13" x14ac:dyDescent="0.25">
      <c r="A104">
        <v>103</v>
      </c>
      <c r="B104" t="s">
        <v>182</v>
      </c>
      <c r="C104" s="32">
        <v>242</v>
      </c>
      <c r="D104" t="s">
        <v>121</v>
      </c>
      <c r="E104" t="s">
        <v>32</v>
      </c>
      <c r="F104" t="s">
        <v>33</v>
      </c>
      <c r="G104" t="s">
        <v>34</v>
      </c>
      <c r="H104" t="b">
        <v>1</v>
      </c>
      <c r="I104" t="b">
        <v>0</v>
      </c>
      <c r="J104" s="32">
        <v>55</v>
      </c>
      <c r="K104" t="b">
        <v>1</v>
      </c>
      <c r="L104" t="s">
        <v>35</v>
      </c>
      <c r="M104" t="s">
        <v>117</v>
      </c>
    </row>
    <row r="105" spans="1:13" x14ac:dyDescent="0.25">
      <c r="A105">
        <v>104</v>
      </c>
      <c r="B105" t="s">
        <v>183</v>
      </c>
      <c r="C105" s="32">
        <v>248</v>
      </c>
      <c r="D105" t="s">
        <v>123</v>
      </c>
      <c r="E105" t="s">
        <v>32</v>
      </c>
      <c r="F105" t="s">
        <v>33</v>
      </c>
      <c r="G105" t="s">
        <v>34</v>
      </c>
      <c r="H105" t="b">
        <v>1</v>
      </c>
      <c r="I105" t="b">
        <v>0</v>
      </c>
      <c r="J105" s="32">
        <v>13</v>
      </c>
      <c r="K105" t="b">
        <v>1</v>
      </c>
      <c r="L105" t="s">
        <v>35</v>
      </c>
      <c r="M105" t="s">
        <v>124</v>
      </c>
    </row>
    <row r="106" spans="1:13" x14ac:dyDescent="0.25">
      <c r="A106">
        <v>105</v>
      </c>
      <c r="B106" t="s">
        <v>184</v>
      </c>
      <c r="C106" s="32">
        <v>252</v>
      </c>
      <c r="D106" t="s">
        <v>126</v>
      </c>
      <c r="E106" t="s">
        <v>32</v>
      </c>
      <c r="F106" t="s">
        <v>33</v>
      </c>
      <c r="G106" t="s">
        <v>34</v>
      </c>
      <c r="H106" t="b">
        <v>1</v>
      </c>
      <c r="I106" t="b">
        <v>0</v>
      </c>
      <c r="J106" s="32">
        <v>59</v>
      </c>
      <c r="K106" t="b">
        <v>1</v>
      </c>
      <c r="L106" t="s">
        <v>35</v>
      </c>
      <c r="M106" t="s">
        <v>127</v>
      </c>
    </row>
    <row r="107" spans="1:13" x14ac:dyDescent="0.25">
      <c r="A107">
        <v>106</v>
      </c>
      <c r="B107" t="s">
        <v>185</v>
      </c>
      <c r="C107" s="32">
        <v>253</v>
      </c>
      <c r="D107" t="s">
        <v>129</v>
      </c>
      <c r="E107" t="s">
        <v>32</v>
      </c>
      <c r="F107" t="s">
        <v>33</v>
      </c>
      <c r="G107" t="s">
        <v>34</v>
      </c>
      <c r="H107" t="b">
        <v>1</v>
      </c>
      <c r="I107" t="b">
        <v>0</v>
      </c>
      <c r="J107" s="32">
        <v>59</v>
      </c>
      <c r="K107" t="b">
        <v>1</v>
      </c>
      <c r="L107" t="s">
        <v>35</v>
      </c>
      <c r="M107" t="s">
        <v>127</v>
      </c>
    </row>
    <row r="108" spans="1:13" x14ac:dyDescent="0.25">
      <c r="A108">
        <v>107</v>
      </c>
      <c r="B108" t="s">
        <v>186</v>
      </c>
      <c r="C108" s="32">
        <v>254</v>
      </c>
      <c r="D108" t="s">
        <v>131</v>
      </c>
      <c r="E108" t="s">
        <v>32</v>
      </c>
      <c r="F108" t="s">
        <v>33</v>
      </c>
      <c r="G108" t="s">
        <v>34</v>
      </c>
      <c r="H108" t="b">
        <v>1</v>
      </c>
      <c r="I108" t="b">
        <v>0</v>
      </c>
      <c r="J108" s="32">
        <v>59</v>
      </c>
      <c r="K108" t="b">
        <v>1</v>
      </c>
      <c r="L108" t="s">
        <v>35</v>
      </c>
      <c r="M108" t="s">
        <v>127</v>
      </c>
    </row>
    <row r="109" spans="1:13" x14ac:dyDescent="0.25">
      <c r="A109">
        <v>108</v>
      </c>
      <c r="B109" t="s">
        <v>187</v>
      </c>
      <c r="C109" s="32">
        <v>255</v>
      </c>
      <c r="D109" t="s">
        <v>133</v>
      </c>
      <c r="E109" t="s">
        <v>32</v>
      </c>
      <c r="F109" t="s">
        <v>33</v>
      </c>
      <c r="G109" t="s">
        <v>34</v>
      </c>
      <c r="H109" t="b">
        <v>1</v>
      </c>
      <c r="I109" t="b">
        <v>0</v>
      </c>
      <c r="J109" s="32">
        <v>77</v>
      </c>
      <c r="K109" t="b">
        <v>1</v>
      </c>
      <c r="L109" t="s">
        <v>35</v>
      </c>
      <c r="M109" t="s">
        <v>134</v>
      </c>
    </row>
    <row r="110" spans="1:13" x14ac:dyDescent="0.25">
      <c r="A110">
        <v>109</v>
      </c>
      <c r="B110" t="s">
        <v>188</v>
      </c>
      <c r="C110" s="32">
        <v>256</v>
      </c>
      <c r="D110" t="s">
        <v>136</v>
      </c>
      <c r="E110" t="s">
        <v>32</v>
      </c>
      <c r="F110" t="s">
        <v>33</v>
      </c>
      <c r="G110" t="s">
        <v>34</v>
      </c>
      <c r="H110" t="b">
        <v>1</v>
      </c>
      <c r="I110" t="b">
        <v>0</v>
      </c>
      <c r="J110" s="32">
        <v>59</v>
      </c>
      <c r="K110" t="b">
        <v>1</v>
      </c>
      <c r="L110" t="s">
        <v>35</v>
      </c>
      <c r="M110" t="s">
        <v>127</v>
      </c>
    </row>
    <row r="111" spans="1:13" x14ac:dyDescent="0.25">
      <c r="A111">
        <v>110</v>
      </c>
      <c r="B111" t="s">
        <v>189</v>
      </c>
      <c r="C111" s="32">
        <v>257</v>
      </c>
      <c r="D111" t="s">
        <v>138</v>
      </c>
      <c r="E111" t="s">
        <v>32</v>
      </c>
      <c r="F111" t="s">
        <v>33</v>
      </c>
      <c r="G111" t="s">
        <v>34</v>
      </c>
      <c r="H111" t="b">
        <v>1</v>
      </c>
      <c r="I111" t="b">
        <v>0</v>
      </c>
      <c r="J111" s="32">
        <v>59</v>
      </c>
      <c r="K111" t="b">
        <v>1</v>
      </c>
      <c r="L111" t="s">
        <v>35</v>
      </c>
      <c r="M111" t="s">
        <v>127</v>
      </c>
    </row>
    <row r="112" spans="1:13" x14ac:dyDescent="0.25">
      <c r="A112">
        <v>111</v>
      </c>
      <c r="B112" t="s">
        <v>190</v>
      </c>
      <c r="C112" s="32">
        <v>258</v>
      </c>
      <c r="D112" t="s">
        <v>140</v>
      </c>
      <c r="E112" t="s">
        <v>32</v>
      </c>
      <c r="F112" t="s">
        <v>33</v>
      </c>
      <c r="G112" t="s">
        <v>34</v>
      </c>
      <c r="H112" t="b">
        <v>1</v>
      </c>
      <c r="I112" t="b">
        <v>0</v>
      </c>
      <c r="J112" s="32">
        <v>63</v>
      </c>
      <c r="K112" t="b">
        <v>1</v>
      </c>
      <c r="L112" t="s">
        <v>35</v>
      </c>
      <c r="M112" t="s">
        <v>141</v>
      </c>
    </row>
    <row r="113" spans="1:13" x14ac:dyDescent="0.25">
      <c r="A113">
        <v>112</v>
      </c>
      <c r="B113" t="s">
        <v>191</v>
      </c>
      <c r="C113" s="32">
        <v>259</v>
      </c>
      <c r="D113" t="s">
        <v>143</v>
      </c>
      <c r="E113" t="s">
        <v>32</v>
      </c>
      <c r="F113" t="s">
        <v>33</v>
      </c>
      <c r="G113" t="s">
        <v>34</v>
      </c>
      <c r="H113" t="b">
        <v>1</v>
      </c>
      <c r="I113" t="b">
        <v>0</v>
      </c>
      <c r="J113" s="32">
        <v>63</v>
      </c>
      <c r="K113" t="b">
        <v>1</v>
      </c>
      <c r="L113" t="s">
        <v>35</v>
      </c>
      <c r="M113" t="s">
        <v>141</v>
      </c>
    </row>
    <row r="114" spans="1:13" x14ac:dyDescent="0.25">
      <c r="A114">
        <v>113</v>
      </c>
      <c r="B114" t="s">
        <v>192</v>
      </c>
      <c r="C114" s="32">
        <v>272</v>
      </c>
      <c r="D114" t="s">
        <v>116</v>
      </c>
      <c r="E114" t="s">
        <v>32</v>
      </c>
      <c r="F114" t="s">
        <v>33</v>
      </c>
      <c r="G114" t="s">
        <v>34</v>
      </c>
      <c r="H114" t="b">
        <v>1</v>
      </c>
      <c r="I114" t="b">
        <v>0</v>
      </c>
      <c r="J114" s="32">
        <v>55</v>
      </c>
      <c r="K114" t="b">
        <v>1</v>
      </c>
      <c r="L114" t="s">
        <v>35</v>
      </c>
      <c r="M114" t="s">
        <v>117</v>
      </c>
    </row>
    <row r="115" spans="1:13" x14ac:dyDescent="0.25">
      <c r="A115">
        <v>114</v>
      </c>
      <c r="B115" t="s">
        <v>193</v>
      </c>
      <c r="C115" s="32">
        <v>273</v>
      </c>
      <c r="D115" t="s">
        <v>119</v>
      </c>
      <c r="E115" t="s">
        <v>32</v>
      </c>
      <c r="F115" t="s">
        <v>33</v>
      </c>
      <c r="G115" t="s">
        <v>34</v>
      </c>
      <c r="H115" t="b">
        <v>1</v>
      </c>
      <c r="I115" t="b">
        <v>0</v>
      </c>
      <c r="J115" s="32">
        <v>55</v>
      </c>
      <c r="K115" t="b">
        <v>1</v>
      </c>
      <c r="L115" t="s">
        <v>35</v>
      </c>
      <c r="M115" t="s">
        <v>117</v>
      </c>
    </row>
    <row r="116" spans="1:13" x14ac:dyDescent="0.25">
      <c r="A116">
        <v>115</v>
      </c>
      <c r="B116" t="s">
        <v>194</v>
      </c>
      <c r="C116" s="32">
        <v>274</v>
      </c>
      <c r="D116" t="s">
        <v>121</v>
      </c>
      <c r="E116" t="s">
        <v>32</v>
      </c>
      <c r="F116" t="s">
        <v>33</v>
      </c>
      <c r="G116" t="s">
        <v>34</v>
      </c>
      <c r="H116" t="b">
        <v>1</v>
      </c>
      <c r="I116" t="b">
        <v>0</v>
      </c>
      <c r="J116" s="32">
        <v>55</v>
      </c>
      <c r="K116" t="b">
        <v>1</v>
      </c>
      <c r="L116" t="s">
        <v>35</v>
      </c>
      <c r="M116" t="s">
        <v>117</v>
      </c>
    </row>
    <row r="117" spans="1:13" x14ac:dyDescent="0.25">
      <c r="A117">
        <v>116</v>
      </c>
      <c r="B117" t="s">
        <v>195</v>
      </c>
      <c r="C117" s="32">
        <v>280</v>
      </c>
      <c r="D117" t="s">
        <v>123</v>
      </c>
      <c r="E117" t="s">
        <v>32</v>
      </c>
      <c r="F117" t="s">
        <v>33</v>
      </c>
      <c r="G117" t="s">
        <v>34</v>
      </c>
      <c r="H117" t="b">
        <v>1</v>
      </c>
      <c r="I117" t="b">
        <v>0</v>
      </c>
      <c r="J117" s="32">
        <v>13</v>
      </c>
      <c r="K117" t="b">
        <v>1</v>
      </c>
      <c r="L117" t="s">
        <v>35</v>
      </c>
      <c r="M117" t="s">
        <v>124</v>
      </c>
    </row>
    <row r="118" spans="1:13" x14ac:dyDescent="0.25">
      <c r="A118">
        <v>117</v>
      </c>
      <c r="B118" t="s">
        <v>196</v>
      </c>
      <c r="C118" s="32">
        <v>284</v>
      </c>
      <c r="D118" t="s">
        <v>126</v>
      </c>
      <c r="E118" t="s">
        <v>32</v>
      </c>
      <c r="F118" t="s">
        <v>33</v>
      </c>
      <c r="G118" t="s">
        <v>34</v>
      </c>
      <c r="H118" t="b">
        <v>1</v>
      </c>
      <c r="I118" t="b">
        <v>0</v>
      </c>
      <c r="J118" s="32">
        <v>59</v>
      </c>
      <c r="K118" t="b">
        <v>1</v>
      </c>
      <c r="L118" t="s">
        <v>35</v>
      </c>
      <c r="M118" t="s">
        <v>127</v>
      </c>
    </row>
    <row r="119" spans="1:13" x14ac:dyDescent="0.25">
      <c r="A119">
        <v>118</v>
      </c>
      <c r="B119" t="s">
        <v>197</v>
      </c>
      <c r="C119" s="32">
        <v>285</v>
      </c>
      <c r="D119" t="s">
        <v>129</v>
      </c>
      <c r="E119" t="s">
        <v>32</v>
      </c>
      <c r="F119" t="s">
        <v>33</v>
      </c>
      <c r="G119" t="s">
        <v>34</v>
      </c>
      <c r="H119" t="b">
        <v>1</v>
      </c>
      <c r="I119" t="b">
        <v>0</v>
      </c>
      <c r="J119" s="32">
        <v>59</v>
      </c>
      <c r="K119" t="b">
        <v>1</v>
      </c>
      <c r="L119" t="s">
        <v>35</v>
      </c>
      <c r="M119" t="s">
        <v>127</v>
      </c>
    </row>
    <row r="120" spans="1:13" x14ac:dyDescent="0.25">
      <c r="A120">
        <v>119</v>
      </c>
      <c r="B120" t="s">
        <v>198</v>
      </c>
      <c r="C120" s="32">
        <v>286</v>
      </c>
      <c r="D120" t="s">
        <v>131</v>
      </c>
      <c r="E120" t="s">
        <v>32</v>
      </c>
      <c r="F120" t="s">
        <v>33</v>
      </c>
      <c r="G120" t="s">
        <v>34</v>
      </c>
      <c r="H120" t="b">
        <v>1</v>
      </c>
      <c r="I120" t="b">
        <v>0</v>
      </c>
      <c r="J120" s="32">
        <v>59</v>
      </c>
      <c r="K120" t="b">
        <v>1</v>
      </c>
      <c r="L120" t="s">
        <v>35</v>
      </c>
      <c r="M120" t="s">
        <v>127</v>
      </c>
    </row>
    <row r="121" spans="1:13" x14ac:dyDescent="0.25">
      <c r="A121">
        <v>120</v>
      </c>
      <c r="B121" t="s">
        <v>199</v>
      </c>
      <c r="C121" s="32">
        <v>287</v>
      </c>
      <c r="D121" t="s">
        <v>133</v>
      </c>
      <c r="E121" t="s">
        <v>32</v>
      </c>
      <c r="F121" t="s">
        <v>33</v>
      </c>
      <c r="G121" t="s">
        <v>34</v>
      </c>
      <c r="H121" t="b">
        <v>1</v>
      </c>
      <c r="I121" t="b">
        <v>0</v>
      </c>
      <c r="J121" s="32">
        <v>77</v>
      </c>
      <c r="K121" t="b">
        <v>1</v>
      </c>
      <c r="L121" t="s">
        <v>35</v>
      </c>
      <c r="M121" t="s">
        <v>134</v>
      </c>
    </row>
    <row r="122" spans="1:13" x14ac:dyDescent="0.25">
      <c r="A122">
        <v>121</v>
      </c>
      <c r="B122" t="s">
        <v>200</v>
      </c>
      <c r="C122" s="32">
        <v>288</v>
      </c>
      <c r="D122" t="s">
        <v>136</v>
      </c>
      <c r="E122" t="s">
        <v>32</v>
      </c>
      <c r="F122" t="s">
        <v>33</v>
      </c>
      <c r="G122" t="s">
        <v>34</v>
      </c>
      <c r="H122" t="b">
        <v>1</v>
      </c>
      <c r="I122" t="b">
        <v>0</v>
      </c>
      <c r="J122" s="32">
        <v>59</v>
      </c>
      <c r="K122" t="b">
        <v>1</v>
      </c>
      <c r="L122" t="s">
        <v>35</v>
      </c>
      <c r="M122" t="s">
        <v>127</v>
      </c>
    </row>
    <row r="123" spans="1:13" x14ac:dyDescent="0.25">
      <c r="A123">
        <v>122</v>
      </c>
      <c r="B123" t="s">
        <v>201</v>
      </c>
      <c r="C123" s="32">
        <v>289</v>
      </c>
      <c r="D123" t="s">
        <v>138</v>
      </c>
      <c r="E123" t="s">
        <v>32</v>
      </c>
      <c r="F123" t="s">
        <v>33</v>
      </c>
      <c r="G123" t="s">
        <v>34</v>
      </c>
      <c r="H123" t="b">
        <v>1</v>
      </c>
      <c r="I123" t="b">
        <v>0</v>
      </c>
      <c r="J123" s="32">
        <v>59</v>
      </c>
      <c r="K123" t="b">
        <v>1</v>
      </c>
      <c r="L123" t="s">
        <v>35</v>
      </c>
      <c r="M123" t="s">
        <v>127</v>
      </c>
    </row>
    <row r="124" spans="1:13" x14ac:dyDescent="0.25">
      <c r="A124">
        <v>123</v>
      </c>
      <c r="B124" t="s">
        <v>202</v>
      </c>
      <c r="C124" s="32">
        <v>290</v>
      </c>
      <c r="D124" t="s">
        <v>140</v>
      </c>
      <c r="E124" t="s">
        <v>32</v>
      </c>
      <c r="F124" t="s">
        <v>33</v>
      </c>
      <c r="G124" t="s">
        <v>34</v>
      </c>
      <c r="H124" t="b">
        <v>1</v>
      </c>
      <c r="I124" t="b">
        <v>0</v>
      </c>
      <c r="J124" s="32">
        <v>63</v>
      </c>
      <c r="K124" t="b">
        <v>1</v>
      </c>
      <c r="L124" t="s">
        <v>35</v>
      </c>
      <c r="M124" t="s">
        <v>141</v>
      </c>
    </row>
    <row r="125" spans="1:13" x14ac:dyDescent="0.25">
      <c r="A125">
        <v>124</v>
      </c>
      <c r="B125" t="s">
        <v>203</v>
      </c>
      <c r="C125" s="32">
        <v>291</v>
      </c>
      <c r="D125" t="s">
        <v>143</v>
      </c>
      <c r="E125" t="s">
        <v>32</v>
      </c>
      <c r="F125" t="s">
        <v>33</v>
      </c>
      <c r="G125" t="s">
        <v>34</v>
      </c>
      <c r="H125" t="b">
        <v>1</v>
      </c>
      <c r="I125" t="b">
        <v>0</v>
      </c>
      <c r="J125" s="32">
        <v>63</v>
      </c>
      <c r="K125" t="b">
        <v>1</v>
      </c>
      <c r="L125" t="s">
        <v>35</v>
      </c>
      <c r="M125" t="s">
        <v>141</v>
      </c>
    </row>
    <row r="126" spans="1:13" x14ac:dyDescent="0.25">
      <c r="A126">
        <v>125</v>
      </c>
      <c r="B126" t="s">
        <v>204</v>
      </c>
      <c r="C126" s="32">
        <v>306</v>
      </c>
      <c r="D126" t="s">
        <v>116</v>
      </c>
      <c r="E126" t="s">
        <v>32</v>
      </c>
      <c r="F126" t="s">
        <v>33</v>
      </c>
      <c r="G126" t="s">
        <v>34</v>
      </c>
      <c r="H126" t="b">
        <v>1</v>
      </c>
      <c r="I126" t="b">
        <v>0</v>
      </c>
      <c r="J126" s="32">
        <v>65</v>
      </c>
      <c r="K126" t="b">
        <v>1</v>
      </c>
      <c r="L126" t="s">
        <v>35</v>
      </c>
      <c r="M126" t="s">
        <v>205</v>
      </c>
    </row>
    <row r="127" spans="1:13" x14ac:dyDescent="0.25">
      <c r="A127">
        <v>126</v>
      </c>
      <c r="B127" t="s">
        <v>206</v>
      </c>
      <c r="C127" s="32">
        <v>307</v>
      </c>
      <c r="D127" t="s">
        <v>119</v>
      </c>
      <c r="E127" t="s">
        <v>32</v>
      </c>
      <c r="F127" t="s">
        <v>33</v>
      </c>
      <c r="G127" t="s">
        <v>34</v>
      </c>
      <c r="H127" t="b">
        <v>1</v>
      </c>
      <c r="I127" t="b">
        <v>0</v>
      </c>
      <c r="J127" s="32">
        <v>67</v>
      </c>
      <c r="K127" t="b">
        <v>1</v>
      </c>
      <c r="L127" t="s">
        <v>35</v>
      </c>
      <c r="M127" t="s">
        <v>207</v>
      </c>
    </row>
    <row r="128" spans="1:13" x14ac:dyDescent="0.25">
      <c r="A128">
        <v>127</v>
      </c>
      <c r="B128" t="s">
        <v>208</v>
      </c>
      <c r="C128" s="32">
        <v>313</v>
      </c>
      <c r="D128" t="s">
        <v>123</v>
      </c>
      <c r="E128" t="s">
        <v>32</v>
      </c>
      <c r="F128" t="s">
        <v>33</v>
      </c>
      <c r="G128" t="s">
        <v>34</v>
      </c>
      <c r="H128" t="b">
        <v>1</v>
      </c>
      <c r="I128" t="b">
        <v>0</v>
      </c>
      <c r="J128" s="32">
        <v>13</v>
      </c>
      <c r="K128" t="b">
        <v>1</v>
      </c>
      <c r="L128" t="s">
        <v>35</v>
      </c>
      <c r="M128" t="s">
        <v>124</v>
      </c>
    </row>
    <row r="129" spans="1:13" x14ac:dyDescent="0.25">
      <c r="A129">
        <v>128</v>
      </c>
      <c r="B129" t="s">
        <v>209</v>
      </c>
      <c r="C129" s="32">
        <v>317</v>
      </c>
      <c r="D129" t="s">
        <v>210</v>
      </c>
      <c r="E129" t="s">
        <v>32</v>
      </c>
      <c r="F129" t="s">
        <v>33</v>
      </c>
      <c r="G129" t="s">
        <v>34</v>
      </c>
      <c r="H129" t="b">
        <v>1</v>
      </c>
      <c r="I129" t="b">
        <v>0</v>
      </c>
      <c r="J129" s="32">
        <v>69</v>
      </c>
      <c r="K129" t="b">
        <v>1</v>
      </c>
      <c r="L129" t="s">
        <v>35</v>
      </c>
      <c r="M129" t="s">
        <v>211</v>
      </c>
    </row>
    <row r="130" spans="1:13" x14ac:dyDescent="0.25">
      <c r="A130">
        <v>129</v>
      </c>
      <c r="B130" t="s">
        <v>212</v>
      </c>
      <c r="C130" s="32">
        <v>318</v>
      </c>
      <c r="D130" t="s">
        <v>213</v>
      </c>
      <c r="E130" t="s">
        <v>32</v>
      </c>
      <c r="F130" t="s">
        <v>33</v>
      </c>
      <c r="G130" t="s">
        <v>34</v>
      </c>
      <c r="H130" t="b">
        <v>1</v>
      </c>
      <c r="I130" t="b">
        <v>0</v>
      </c>
      <c r="J130" s="32">
        <v>69</v>
      </c>
      <c r="K130" t="b">
        <v>1</v>
      </c>
      <c r="L130" t="s">
        <v>35</v>
      </c>
      <c r="M130" t="s">
        <v>211</v>
      </c>
    </row>
    <row r="131" spans="1:13" x14ac:dyDescent="0.25">
      <c r="A131">
        <v>130</v>
      </c>
      <c r="B131" t="s">
        <v>214</v>
      </c>
      <c r="C131" s="32">
        <v>319</v>
      </c>
      <c r="D131" t="s">
        <v>133</v>
      </c>
      <c r="E131" t="s">
        <v>32</v>
      </c>
      <c r="F131" t="s">
        <v>33</v>
      </c>
      <c r="G131" t="s">
        <v>34</v>
      </c>
      <c r="H131" t="b">
        <v>1</v>
      </c>
      <c r="I131" t="b">
        <v>0</v>
      </c>
      <c r="J131" s="32">
        <v>77</v>
      </c>
      <c r="K131" t="b">
        <v>1</v>
      </c>
      <c r="L131" t="s">
        <v>35</v>
      </c>
      <c r="M131" t="s">
        <v>134</v>
      </c>
    </row>
    <row r="132" spans="1:13" x14ac:dyDescent="0.25">
      <c r="A132">
        <v>131</v>
      </c>
      <c r="B132" t="s">
        <v>215</v>
      </c>
      <c r="C132" s="32">
        <v>320</v>
      </c>
      <c r="D132" t="s">
        <v>216</v>
      </c>
      <c r="E132" t="s">
        <v>32</v>
      </c>
      <c r="F132" t="s">
        <v>33</v>
      </c>
      <c r="G132" t="s">
        <v>34</v>
      </c>
      <c r="H132" t="b">
        <v>1</v>
      </c>
      <c r="I132" t="b">
        <v>0</v>
      </c>
      <c r="J132" s="32">
        <v>69</v>
      </c>
      <c r="K132" t="b">
        <v>1</v>
      </c>
      <c r="L132" t="s">
        <v>35</v>
      </c>
      <c r="M132" t="s">
        <v>211</v>
      </c>
    </row>
    <row r="133" spans="1:13" x14ac:dyDescent="0.25">
      <c r="A133">
        <v>132</v>
      </c>
      <c r="B133" t="s">
        <v>217</v>
      </c>
      <c r="C133" s="32">
        <v>321</v>
      </c>
      <c r="D133" t="s">
        <v>218</v>
      </c>
      <c r="E133" t="s">
        <v>32</v>
      </c>
      <c r="F133" t="s">
        <v>33</v>
      </c>
      <c r="G133" t="s">
        <v>34</v>
      </c>
      <c r="H133" t="b">
        <v>1</v>
      </c>
      <c r="I133" t="b">
        <v>0</v>
      </c>
      <c r="J133" s="32">
        <v>69</v>
      </c>
      <c r="K133" t="b">
        <v>1</v>
      </c>
      <c r="L133" t="s">
        <v>35</v>
      </c>
      <c r="M133" t="s">
        <v>211</v>
      </c>
    </row>
    <row r="134" spans="1:13" x14ac:dyDescent="0.25">
      <c r="A134">
        <v>133</v>
      </c>
      <c r="B134" t="s">
        <v>219</v>
      </c>
      <c r="C134" s="32">
        <v>322</v>
      </c>
      <c r="D134" t="s">
        <v>220</v>
      </c>
      <c r="E134" t="s">
        <v>32</v>
      </c>
      <c r="F134" t="s">
        <v>33</v>
      </c>
      <c r="G134" t="s">
        <v>34</v>
      </c>
      <c r="H134" t="b">
        <v>1</v>
      </c>
      <c r="I134" t="b">
        <v>0</v>
      </c>
      <c r="J134" s="32">
        <v>73</v>
      </c>
      <c r="K134" t="b">
        <v>1</v>
      </c>
      <c r="L134" t="s">
        <v>35</v>
      </c>
      <c r="M134" t="s">
        <v>221</v>
      </c>
    </row>
    <row r="135" spans="1:13" x14ac:dyDescent="0.25">
      <c r="A135">
        <v>134</v>
      </c>
      <c r="B135" t="s">
        <v>222</v>
      </c>
      <c r="C135" s="32">
        <v>323</v>
      </c>
      <c r="D135" t="s">
        <v>223</v>
      </c>
      <c r="E135" t="s">
        <v>32</v>
      </c>
      <c r="F135" t="s">
        <v>33</v>
      </c>
      <c r="G135" t="s">
        <v>34</v>
      </c>
      <c r="H135" t="b">
        <v>1</v>
      </c>
      <c r="I135" t="b">
        <v>0</v>
      </c>
      <c r="J135" s="32">
        <v>75</v>
      </c>
      <c r="K135" t="b">
        <v>1</v>
      </c>
      <c r="L135" t="s">
        <v>35</v>
      </c>
      <c r="M135" t="s">
        <v>224</v>
      </c>
    </row>
    <row r="136" spans="1:13" x14ac:dyDescent="0.25">
      <c r="A136">
        <v>135</v>
      </c>
      <c r="B136" t="s">
        <v>225</v>
      </c>
      <c r="C136" s="32">
        <v>336</v>
      </c>
      <c r="D136" t="s">
        <v>116</v>
      </c>
      <c r="E136" t="s">
        <v>32</v>
      </c>
      <c r="F136" t="s">
        <v>33</v>
      </c>
      <c r="G136" t="s">
        <v>34</v>
      </c>
      <c r="H136" t="b">
        <v>1</v>
      </c>
      <c r="I136" t="b">
        <v>0</v>
      </c>
      <c r="J136" s="32">
        <v>65</v>
      </c>
      <c r="K136" t="b">
        <v>1</v>
      </c>
      <c r="L136" t="s">
        <v>35</v>
      </c>
      <c r="M136" t="s">
        <v>205</v>
      </c>
    </row>
    <row r="137" spans="1:13" x14ac:dyDescent="0.25">
      <c r="A137">
        <v>136</v>
      </c>
      <c r="B137" t="s">
        <v>226</v>
      </c>
      <c r="C137" s="32">
        <v>337</v>
      </c>
      <c r="D137" t="s">
        <v>119</v>
      </c>
      <c r="E137" t="s">
        <v>32</v>
      </c>
      <c r="F137" t="s">
        <v>33</v>
      </c>
      <c r="G137" t="s">
        <v>34</v>
      </c>
      <c r="H137" t="b">
        <v>1</v>
      </c>
      <c r="I137" t="b">
        <v>0</v>
      </c>
      <c r="J137" s="32">
        <v>67</v>
      </c>
      <c r="K137" t="b">
        <v>1</v>
      </c>
      <c r="L137" t="s">
        <v>35</v>
      </c>
      <c r="M137" t="s">
        <v>207</v>
      </c>
    </row>
    <row r="138" spans="1:13" x14ac:dyDescent="0.25">
      <c r="A138">
        <v>137</v>
      </c>
      <c r="B138" t="s">
        <v>227</v>
      </c>
      <c r="C138" s="32">
        <v>343</v>
      </c>
      <c r="D138" t="s">
        <v>123</v>
      </c>
      <c r="E138" t="s">
        <v>32</v>
      </c>
      <c r="F138" t="s">
        <v>33</v>
      </c>
      <c r="G138" t="s">
        <v>34</v>
      </c>
      <c r="H138" t="b">
        <v>1</v>
      </c>
      <c r="I138" t="b">
        <v>0</v>
      </c>
      <c r="J138" s="32">
        <v>13</v>
      </c>
      <c r="K138" t="b">
        <v>1</v>
      </c>
      <c r="L138" t="s">
        <v>35</v>
      </c>
      <c r="M138" t="s">
        <v>124</v>
      </c>
    </row>
    <row r="139" spans="1:13" x14ac:dyDescent="0.25">
      <c r="A139">
        <v>138</v>
      </c>
      <c r="B139" t="s">
        <v>228</v>
      </c>
      <c r="C139" s="32">
        <v>347</v>
      </c>
      <c r="D139" t="s">
        <v>210</v>
      </c>
      <c r="E139" t="s">
        <v>32</v>
      </c>
      <c r="F139" t="s">
        <v>33</v>
      </c>
      <c r="G139" t="s">
        <v>34</v>
      </c>
      <c r="H139" t="b">
        <v>1</v>
      </c>
      <c r="I139" t="b">
        <v>0</v>
      </c>
      <c r="J139" s="32">
        <v>69</v>
      </c>
      <c r="K139" t="b">
        <v>1</v>
      </c>
      <c r="L139" t="s">
        <v>35</v>
      </c>
      <c r="M139" t="s">
        <v>211</v>
      </c>
    </row>
    <row r="140" spans="1:13" x14ac:dyDescent="0.25">
      <c r="A140">
        <v>139</v>
      </c>
      <c r="B140" t="s">
        <v>229</v>
      </c>
      <c r="C140" s="32">
        <v>348</v>
      </c>
      <c r="D140" t="s">
        <v>213</v>
      </c>
      <c r="E140" t="s">
        <v>32</v>
      </c>
      <c r="F140" t="s">
        <v>33</v>
      </c>
      <c r="G140" t="s">
        <v>34</v>
      </c>
      <c r="H140" t="b">
        <v>1</v>
      </c>
      <c r="I140" t="b">
        <v>0</v>
      </c>
      <c r="J140" s="32">
        <v>69</v>
      </c>
      <c r="K140" t="b">
        <v>1</v>
      </c>
      <c r="L140" t="s">
        <v>35</v>
      </c>
      <c r="M140" t="s">
        <v>211</v>
      </c>
    </row>
    <row r="141" spans="1:13" x14ac:dyDescent="0.25">
      <c r="A141">
        <v>140</v>
      </c>
      <c r="B141" t="s">
        <v>230</v>
      </c>
      <c r="C141" s="32">
        <v>349</v>
      </c>
      <c r="D141" t="s">
        <v>133</v>
      </c>
      <c r="E141" t="s">
        <v>32</v>
      </c>
      <c r="F141" t="s">
        <v>33</v>
      </c>
      <c r="G141" t="s">
        <v>34</v>
      </c>
      <c r="H141" t="b">
        <v>1</v>
      </c>
      <c r="I141" t="b">
        <v>0</v>
      </c>
      <c r="J141" s="32">
        <v>77</v>
      </c>
      <c r="K141" t="b">
        <v>1</v>
      </c>
      <c r="L141" t="s">
        <v>35</v>
      </c>
      <c r="M141" t="s">
        <v>134</v>
      </c>
    </row>
    <row r="142" spans="1:13" x14ac:dyDescent="0.25">
      <c r="A142">
        <v>141</v>
      </c>
      <c r="B142" t="s">
        <v>231</v>
      </c>
      <c r="C142" s="32">
        <v>350</v>
      </c>
      <c r="D142" t="s">
        <v>216</v>
      </c>
      <c r="E142" t="s">
        <v>32</v>
      </c>
      <c r="F142" t="s">
        <v>33</v>
      </c>
      <c r="G142" t="s">
        <v>34</v>
      </c>
      <c r="H142" t="b">
        <v>1</v>
      </c>
      <c r="I142" t="b">
        <v>0</v>
      </c>
      <c r="J142" s="32">
        <v>69</v>
      </c>
      <c r="K142" t="b">
        <v>1</v>
      </c>
      <c r="L142" t="s">
        <v>35</v>
      </c>
      <c r="M142" t="s">
        <v>211</v>
      </c>
    </row>
    <row r="143" spans="1:13" x14ac:dyDescent="0.25">
      <c r="A143">
        <v>142</v>
      </c>
      <c r="B143" t="s">
        <v>232</v>
      </c>
      <c r="C143" s="32">
        <v>351</v>
      </c>
      <c r="D143" t="s">
        <v>218</v>
      </c>
      <c r="E143" t="s">
        <v>32</v>
      </c>
      <c r="F143" t="s">
        <v>33</v>
      </c>
      <c r="G143" t="s">
        <v>34</v>
      </c>
      <c r="H143" t="b">
        <v>1</v>
      </c>
      <c r="I143" t="b">
        <v>0</v>
      </c>
      <c r="J143" s="32">
        <v>69</v>
      </c>
      <c r="K143" t="b">
        <v>1</v>
      </c>
      <c r="L143" t="s">
        <v>35</v>
      </c>
      <c r="M143" t="s">
        <v>211</v>
      </c>
    </row>
    <row r="144" spans="1:13" x14ac:dyDescent="0.25">
      <c r="A144">
        <v>143</v>
      </c>
      <c r="B144" t="s">
        <v>233</v>
      </c>
      <c r="C144" s="32">
        <v>352</v>
      </c>
      <c r="D144" t="s">
        <v>220</v>
      </c>
      <c r="E144" t="s">
        <v>32</v>
      </c>
      <c r="F144" t="s">
        <v>33</v>
      </c>
      <c r="G144" t="s">
        <v>34</v>
      </c>
      <c r="H144" t="b">
        <v>1</v>
      </c>
      <c r="I144" t="b">
        <v>0</v>
      </c>
      <c r="J144" s="32">
        <v>73</v>
      </c>
      <c r="K144" t="b">
        <v>1</v>
      </c>
      <c r="L144" t="s">
        <v>35</v>
      </c>
      <c r="M144" t="s">
        <v>221</v>
      </c>
    </row>
    <row r="145" spans="1:13" x14ac:dyDescent="0.25">
      <c r="A145">
        <v>144</v>
      </c>
      <c r="B145" t="s">
        <v>234</v>
      </c>
      <c r="C145" s="32">
        <v>353</v>
      </c>
      <c r="D145" t="s">
        <v>223</v>
      </c>
      <c r="E145" t="s">
        <v>32</v>
      </c>
      <c r="F145" t="s">
        <v>33</v>
      </c>
      <c r="G145" t="s">
        <v>34</v>
      </c>
      <c r="H145" t="b">
        <v>1</v>
      </c>
      <c r="I145" t="b">
        <v>0</v>
      </c>
      <c r="J145" s="32">
        <v>75</v>
      </c>
      <c r="K145" t="b">
        <v>1</v>
      </c>
      <c r="L145" t="s">
        <v>35</v>
      </c>
      <c r="M145" t="s">
        <v>224</v>
      </c>
    </row>
    <row r="146" spans="1:13" x14ac:dyDescent="0.25">
      <c r="A146">
        <v>145</v>
      </c>
      <c r="B146" t="s">
        <v>235</v>
      </c>
      <c r="C146" s="32">
        <v>366</v>
      </c>
      <c r="D146" t="s">
        <v>116</v>
      </c>
      <c r="E146" t="s">
        <v>32</v>
      </c>
      <c r="F146" t="s">
        <v>33</v>
      </c>
      <c r="G146" t="s">
        <v>34</v>
      </c>
      <c r="H146" t="b">
        <v>1</v>
      </c>
      <c r="I146" t="b">
        <v>0</v>
      </c>
      <c r="J146" s="32">
        <v>65</v>
      </c>
      <c r="K146" t="b">
        <v>1</v>
      </c>
      <c r="L146" t="s">
        <v>35</v>
      </c>
      <c r="M146" t="s">
        <v>205</v>
      </c>
    </row>
    <row r="147" spans="1:13" x14ac:dyDescent="0.25">
      <c r="A147">
        <v>146</v>
      </c>
      <c r="B147" t="s">
        <v>236</v>
      </c>
      <c r="C147" s="32">
        <v>367</v>
      </c>
      <c r="D147" t="s">
        <v>119</v>
      </c>
      <c r="E147" t="s">
        <v>32</v>
      </c>
      <c r="F147" t="s">
        <v>33</v>
      </c>
      <c r="G147" t="s">
        <v>34</v>
      </c>
      <c r="H147" t="b">
        <v>1</v>
      </c>
      <c r="I147" t="b">
        <v>0</v>
      </c>
      <c r="J147" s="32">
        <v>67</v>
      </c>
      <c r="K147" t="b">
        <v>1</v>
      </c>
      <c r="L147" t="s">
        <v>35</v>
      </c>
      <c r="M147" t="s">
        <v>207</v>
      </c>
    </row>
    <row r="148" spans="1:13" x14ac:dyDescent="0.25">
      <c r="A148">
        <v>147</v>
      </c>
      <c r="B148" t="s">
        <v>237</v>
      </c>
      <c r="C148" s="32">
        <v>373</v>
      </c>
      <c r="D148" t="s">
        <v>123</v>
      </c>
      <c r="E148" t="s">
        <v>32</v>
      </c>
      <c r="F148" t="s">
        <v>33</v>
      </c>
      <c r="G148" t="s">
        <v>34</v>
      </c>
      <c r="H148" t="b">
        <v>1</v>
      </c>
      <c r="I148" t="b">
        <v>0</v>
      </c>
      <c r="J148" s="32">
        <v>13</v>
      </c>
      <c r="K148" t="b">
        <v>1</v>
      </c>
      <c r="L148" t="s">
        <v>35</v>
      </c>
      <c r="M148" t="s">
        <v>124</v>
      </c>
    </row>
    <row r="149" spans="1:13" x14ac:dyDescent="0.25">
      <c r="A149">
        <v>148</v>
      </c>
      <c r="B149" t="s">
        <v>238</v>
      </c>
      <c r="C149" s="32">
        <v>377</v>
      </c>
      <c r="D149" t="s">
        <v>210</v>
      </c>
      <c r="E149" t="s">
        <v>32</v>
      </c>
      <c r="F149" t="s">
        <v>33</v>
      </c>
      <c r="G149" t="s">
        <v>34</v>
      </c>
      <c r="H149" t="b">
        <v>1</v>
      </c>
      <c r="I149" t="b">
        <v>0</v>
      </c>
      <c r="J149" s="32">
        <v>69</v>
      </c>
      <c r="K149" t="b">
        <v>1</v>
      </c>
      <c r="L149" t="s">
        <v>35</v>
      </c>
      <c r="M149" t="s">
        <v>211</v>
      </c>
    </row>
    <row r="150" spans="1:13" x14ac:dyDescent="0.25">
      <c r="A150">
        <v>149</v>
      </c>
      <c r="B150" t="s">
        <v>239</v>
      </c>
      <c r="C150" s="32">
        <v>378</v>
      </c>
      <c r="D150" t="s">
        <v>213</v>
      </c>
      <c r="E150" t="s">
        <v>32</v>
      </c>
      <c r="F150" t="s">
        <v>33</v>
      </c>
      <c r="G150" t="s">
        <v>34</v>
      </c>
      <c r="H150" t="b">
        <v>1</v>
      </c>
      <c r="I150" t="b">
        <v>0</v>
      </c>
      <c r="J150" s="32">
        <v>69</v>
      </c>
      <c r="K150" t="b">
        <v>1</v>
      </c>
      <c r="L150" t="s">
        <v>35</v>
      </c>
      <c r="M150" t="s">
        <v>211</v>
      </c>
    </row>
    <row r="151" spans="1:13" x14ac:dyDescent="0.25">
      <c r="A151">
        <v>150</v>
      </c>
      <c r="B151" t="s">
        <v>240</v>
      </c>
      <c r="C151" s="32">
        <v>379</v>
      </c>
      <c r="D151" t="s">
        <v>133</v>
      </c>
      <c r="E151" t="s">
        <v>32</v>
      </c>
      <c r="F151" t="s">
        <v>33</v>
      </c>
      <c r="G151" t="s">
        <v>34</v>
      </c>
      <c r="H151" t="b">
        <v>1</v>
      </c>
      <c r="I151" t="b">
        <v>0</v>
      </c>
      <c r="J151" s="32">
        <v>77</v>
      </c>
      <c r="K151" t="b">
        <v>1</v>
      </c>
      <c r="L151" t="s">
        <v>35</v>
      </c>
      <c r="M151" t="s">
        <v>134</v>
      </c>
    </row>
    <row r="152" spans="1:13" x14ac:dyDescent="0.25">
      <c r="A152">
        <v>151</v>
      </c>
      <c r="B152" t="s">
        <v>241</v>
      </c>
      <c r="C152" s="32">
        <v>380</v>
      </c>
      <c r="D152" t="s">
        <v>216</v>
      </c>
      <c r="E152" t="s">
        <v>32</v>
      </c>
      <c r="F152" t="s">
        <v>33</v>
      </c>
      <c r="G152" t="s">
        <v>34</v>
      </c>
      <c r="H152" t="b">
        <v>1</v>
      </c>
      <c r="I152" t="b">
        <v>0</v>
      </c>
      <c r="J152" s="32">
        <v>69</v>
      </c>
      <c r="K152" t="b">
        <v>1</v>
      </c>
      <c r="L152" t="s">
        <v>35</v>
      </c>
      <c r="M152" t="s">
        <v>211</v>
      </c>
    </row>
    <row r="153" spans="1:13" x14ac:dyDescent="0.25">
      <c r="A153">
        <v>152</v>
      </c>
      <c r="B153" t="s">
        <v>242</v>
      </c>
      <c r="C153" s="32">
        <v>381</v>
      </c>
      <c r="D153" t="s">
        <v>218</v>
      </c>
      <c r="E153" t="s">
        <v>32</v>
      </c>
      <c r="F153" t="s">
        <v>33</v>
      </c>
      <c r="G153" t="s">
        <v>34</v>
      </c>
      <c r="H153" t="b">
        <v>1</v>
      </c>
      <c r="I153" t="b">
        <v>0</v>
      </c>
      <c r="J153" s="32">
        <v>69</v>
      </c>
      <c r="K153" t="b">
        <v>1</v>
      </c>
      <c r="L153" t="s">
        <v>35</v>
      </c>
      <c r="M153" t="s">
        <v>211</v>
      </c>
    </row>
    <row r="154" spans="1:13" x14ac:dyDescent="0.25">
      <c r="A154">
        <v>153</v>
      </c>
      <c r="B154" t="s">
        <v>243</v>
      </c>
      <c r="C154" s="32">
        <v>382</v>
      </c>
      <c r="D154" t="s">
        <v>220</v>
      </c>
      <c r="E154" t="s">
        <v>32</v>
      </c>
      <c r="F154" t="s">
        <v>33</v>
      </c>
      <c r="G154" t="s">
        <v>34</v>
      </c>
      <c r="H154" t="b">
        <v>1</v>
      </c>
      <c r="I154" t="b">
        <v>0</v>
      </c>
      <c r="J154" s="32">
        <v>73</v>
      </c>
      <c r="K154" t="b">
        <v>1</v>
      </c>
      <c r="L154" t="s">
        <v>35</v>
      </c>
      <c r="M154" t="s">
        <v>221</v>
      </c>
    </row>
    <row r="155" spans="1:13" x14ac:dyDescent="0.25">
      <c r="A155">
        <v>154</v>
      </c>
      <c r="B155" t="s">
        <v>244</v>
      </c>
      <c r="C155" s="32">
        <v>383</v>
      </c>
      <c r="D155" t="s">
        <v>223</v>
      </c>
      <c r="E155" t="s">
        <v>32</v>
      </c>
      <c r="F155" t="s">
        <v>33</v>
      </c>
      <c r="G155" t="s">
        <v>34</v>
      </c>
      <c r="H155" t="b">
        <v>1</v>
      </c>
      <c r="I155" t="b">
        <v>0</v>
      </c>
      <c r="J155" s="32">
        <v>75</v>
      </c>
      <c r="K155" t="b">
        <v>1</v>
      </c>
      <c r="L155" t="s">
        <v>35</v>
      </c>
      <c r="M155" t="s">
        <v>224</v>
      </c>
    </row>
    <row r="156" spans="1:13" x14ac:dyDescent="0.25">
      <c r="A156">
        <v>155</v>
      </c>
      <c r="B156" t="s">
        <v>245</v>
      </c>
      <c r="C156" s="32">
        <v>396</v>
      </c>
      <c r="D156" t="s">
        <v>116</v>
      </c>
      <c r="E156" t="s">
        <v>32</v>
      </c>
      <c r="F156" t="s">
        <v>33</v>
      </c>
      <c r="G156" t="s">
        <v>34</v>
      </c>
      <c r="H156" t="b">
        <v>1</v>
      </c>
      <c r="I156" t="b">
        <v>0</v>
      </c>
      <c r="J156" s="32">
        <v>65</v>
      </c>
      <c r="K156" t="b">
        <v>1</v>
      </c>
      <c r="L156" t="s">
        <v>35</v>
      </c>
      <c r="M156" t="s">
        <v>205</v>
      </c>
    </row>
    <row r="157" spans="1:13" x14ac:dyDescent="0.25">
      <c r="A157">
        <v>156</v>
      </c>
      <c r="B157" t="s">
        <v>246</v>
      </c>
      <c r="C157" s="32">
        <v>397</v>
      </c>
      <c r="D157" t="s">
        <v>119</v>
      </c>
      <c r="E157" t="s">
        <v>32</v>
      </c>
      <c r="F157" t="s">
        <v>33</v>
      </c>
      <c r="G157" t="s">
        <v>34</v>
      </c>
      <c r="H157" t="b">
        <v>1</v>
      </c>
      <c r="I157" t="b">
        <v>0</v>
      </c>
      <c r="J157" s="32">
        <v>67</v>
      </c>
      <c r="K157" t="b">
        <v>1</v>
      </c>
      <c r="L157" t="s">
        <v>35</v>
      </c>
      <c r="M157" t="s">
        <v>207</v>
      </c>
    </row>
    <row r="158" spans="1:13" x14ac:dyDescent="0.25">
      <c r="A158">
        <v>157</v>
      </c>
      <c r="B158" t="s">
        <v>247</v>
      </c>
      <c r="C158" s="32">
        <v>403</v>
      </c>
      <c r="D158" t="s">
        <v>123</v>
      </c>
      <c r="E158" t="s">
        <v>32</v>
      </c>
      <c r="F158" t="s">
        <v>33</v>
      </c>
      <c r="G158" t="s">
        <v>34</v>
      </c>
      <c r="H158" t="b">
        <v>1</v>
      </c>
      <c r="I158" t="b">
        <v>0</v>
      </c>
      <c r="J158" s="32">
        <v>13</v>
      </c>
      <c r="K158" t="b">
        <v>1</v>
      </c>
      <c r="L158" t="s">
        <v>35</v>
      </c>
      <c r="M158" t="s">
        <v>124</v>
      </c>
    </row>
    <row r="159" spans="1:13" x14ac:dyDescent="0.25">
      <c r="A159">
        <v>158</v>
      </c>
      <c r="B159" t="s">
        <v>248</v>
      </c>
      <c r="C159" s="32">
        <v>407</v>
      </c>
      <c r="D159" t="s">
        <v>210</v>
      </c>
      <c r="E159" t="s">
        <v>32</v>
      </c>
      <c r="F159" t="s">
        <v>33</v>
      </c>
      <c r="G159" t="s">
        <v>34</v>
      </c>
      <c r="H159" t="b">
        <v>1</v>
      </c>
      <c r="I159" t="b">
        <v>0</v>
      </c>
      <c r="J159" s="32">
        <v>69</v>
      </c>
      <c r="K159" t="b">
        <v>1</v>
      </c>
      <c r="L159" t="s">
        <v>35</v>
      </c>
      <c r="M159" t="s">
        <v>211</v>
      </c>
    </row>
    <row r="160" spans="1:13" x14ac:dyDescent="0.25">
      <c r="A160">
        <v>159</v>
      </c>
      <c r="B160" t="s">
        <v>249</v>
      </c>
      <c r="C160" s="32">
        <v>408</v>
      </c>
      <c r="D160" t="s">
        <v>213</v>
      </c>
      <c r="E160" t="s">
        <v>32</v>
      </c>
      <c r="F160" t="s">
        <v>33</v>
      </c>
      <c r="G160" t="s">
        <v>34</v>
      </c>
      <c r="H160" t="b">
        <v>1</v>
      </c>
      <c r="I160" t="b">
        <v>0</v>
      </c>
      <c r="J160" s="32">
        <v>69</v>
      </c>
      <c r="K160" t="b">
        <v>1</v>
      </c>
      <c r="L160" t="s">
        <v>35</v>
      </c>
      <c r="M160" t="s">
        <v>211</v>
      </c>
    </row>
    <row r="161" spans="1:13" x14ac:dyDescent="0.25">
      <c r="A161">
        <v>160</v>
      </c>
      <c r="B161" t="s">
        <v>250</v>
      </c>
      <c r="C161" s="32">
        <v>409</v>
      </c>
      <c r="D161" t="s">
        <v>133</v>
      </c>
      <c r="E161" t="s">
        <v>32</v>
      </c>
      <c r="F161" t="s">
        <v>33</v>
      </c>
      <c r="G161" t="s">
        <v>34</v>
      </c>
      <c r="H161" t="b">
        <v>1</v>
      </c>
      <c r="I161" t="b">
        <v>0</v>
      </c>
      <c r="J161" s="32">
        <v>77</v>
      </c>
      <c r="K161" t="b">
        <v>1</v>
      </c>
      <c r="L161" t="s">
        <v>35</v>
      </c>
      <c r="M161" t="s">
        <v>134</v>
      </c>
    </row>
    <row r="162" spans="1:13" x14ac:dyDescent="0.25">
      <c r="A162">
        <v>161</v>
      </c>
      <c r="B162" t="s">
        <v>251</v>
      </c>
      <c r="C162" s="32">
        <v>410</v>
      </c>
      <c r="D162" t="s">
        <v>216</v>
      </c>
      <c r="E162" t="s">
        <v>32</v>
      </c>
      <c r="F162" t="s">
        <v>33</v>
      </c>
      <c r="G162" t="s">
        <v>34</v>
      </c>
      <c r="H162" t="b">
        <v>1</v>
      </c>
      <c r="I162" t="b">
        <v>0</v>
      </c>
      <c r="J162" s="32">
        <v>69</v>
      </c>
      <c r="K162" t="b">
        <v>1</v>
      </c>
      <c r="L162" t="s">
        <v>35</v>
      </c>
      <c r="M162" t="s">
        <v>211</v>
      </c>
    </row>
    <row r="163" spans="1:13" x14ac:dyDescent="0.25">
      <c r="A163">
        <v>162</v>
      </c>
      <c r="B163" t="s">
        <v>252</v>
      </c>
      <c r="C163" s="32">
        <v>411</v>
      </c>
      <c r="D163" t="s">
        <v>218</v>
      </c>
      <c r="E163" t="s">
        <v>32</v>
      </c>
      <c r="F163" t="s">
        <v>33</v>
      </c>
      <c r="G163" t="s">
        <v>34</v>
      </c>
      <c r="H163" t="b">
        <v>1</v>
      </c>
      <c r="I163" t="b">
        <v>0</v>
      </c>
      <c r="J163" s="32">
        <v>69</v>
      </c>
      <c r="K163" t="b">
        <v>1</v>
      </c>
      <c r="L163" t="s">
        <v>35</v>
      </c>
      <c r="M163" t="s">
        <v>211</v>
      </c>
    </row>
    <row r="164" spans="1:13" x14ac:dyDescent="0.25">
      <c r="A164">
        <v>163</v>
      </c>
      <c r="B164" t="s">
        <v>253</v>
      </c>
      <c r="C164" s="32">
        <v>412</v>
      </c>
      <c r="D164" t="s">
        <v>220</v>
      </c>
      <c r="E164" t="s">
        <v>32</v>
      </c>
      <c r="F164" t="s">
        <v>33</v>
      </c>
      <c r="G164" t="s">
        <v>34</v>
      </c>
      <c r="H164" t="b">
        <v>1</v>
      </c>
      <c r="I164" t="b">
        <v>0</v>
      </c>
      <c r="J164" s="32">
        <v>73</v>
      </c>
      <c r="K164" t="b">
        <v>1</v>
      </c>
      <c r="L164" t="s">
        <v>35</v>
      </c>
      <c r="M164" t="s">
        <v>221</v>
      </c>
    </row>
    <row r="165" spans="1:13" x14ac:dyDescent="0.25">
      <c r="A165">
        <v>164</v>
      </c>
      <c r="B165" t="s">
        <v>254</v>
      </c>
      <c r="C165" s="32">
        <v>413</v>
      </c>
      <c r="D165" t="s">
        <v>223</v>
      </c>
      <c r="E165" t="s">
        <v>32</v>
      </c>
      <c r="F165" t="s">
        <v>33</v>
      </c>
      <c r="G165" t="s">
        <v>34</v>
      </c>
      <c r="H165" t="b">
        <v>1</v>
      </c>
      <c r="I165" t="b">
        <v>0</v>
      </c>
      <c r="J165" s="32">
        <v>75</v>
      </c>
      <c r="K165" t="b">
        <v>1</v>
      </c>
      <c r="L165" t="s">
        <v>35</v>
      </c>
      <c r="M165" t="s">
        <v>224</v>
      </c>
    </row>
    <row r="166" spans="1:13" x14ac:dyDescent="0.25">
      <c r="A166">
        <v>165</v>
      </c>
      <c r="B166" t="s">
        <v>255</v>
      </c>
      <c r="C166" s="32">
        <v>426</v>
      </c>
      <c r="D166" t="s">
        <v>116</v>
      </c>
      <c r="E166" t="s">
        <v>32</v>
      </c>
      <c r="F166" t="s">
        <v>33</v>
      </c>
      <c r="G166" t="s">
        <v>34</v>
      </c>
      <c r="H166" t="b">
        <v>1</v>
      </c>
      <c r="I166" t="b">
        <v>0</v>
      </c>
      <c r="J166" s="32">
        <v>65</v>
      </c>
      <c r="K166" t="b">
        <v>1</v>
      </c>
      <c r="L166" t="s">
        <v>35</v>
      </c>
      <c r="M166" t="s">
        <v>205</v>
      </c>
    </row>
    <row r="167" spans="1:13" x14ac:dyDescent="0.25">
      <c r="A167">
        <v>166</v>
      </c>
      <c r="B167" t="s">
        <v>256</v>
      </c>
      <c r="C167" s="32">
        <v>427</v>
      </c>
      <c r="D167" t="s">
        <v>119</v>
      </c>
      <c r="E167" t="s">
        <v>32</v>
      </c>
      <c r="F167" t="s">
        <v>33</v>
      </c>
      <c r="G167" t="s">
        <v>34</v>
      </c>
      <c r="H167" t="b">
        <v>1</v>
      </c>
      <c r="I167" t="b">
        <v>0</v>
      </c>
      <c r="J167" s="32">
        <v>67</v>
      </c>
      <c r="K167" t="b">
        <v>1</v>
      </c>
      <c r="L167" t="s">
        <v>35</v>
      </c>
      <c r="M167" t="s">
        <v>207</v>
      </c>
    </row>
    <row r="168" spans="1:13" x14ac:dyDescent="0.25">
      <c r="A168">
        <v>167</v>
      </c>
      <c r="B168" t="s">
        <v>257</v>
      </c>
      <c r="C168" s="32">
        <v>433</v>
      </c>
      <c r="D168" t="s">
        <v>123</v>
      </c>
      <c r="E168" t="s">
        <v>32</v>
      </c>
      <c r="F168" t="s">
        <v>33</v>
      </c>
      <c r="G168" t="s">
        <v>34</v>
      </c>
      <c r="H168" t="b">
        <v>1</v>
      </c>
      <c r="I168" t="b">
        <v>0</v>
      </c>
      <c r="J168" s="32">
        <v>13</v>
      </c>
      <c r="K168" t="b">
        <v>1</v>
      </c>
      <c r="L168" t="s">
        <v>35</v>
      </c>
      <c r="M168" t="s">
        <v>124</v>
      </c>
    </row>
    <row r="169" spans="1:13" x14ac:dyDescent="0.25">
      <c r="A169">
        <v>168</v>
      </c>
      <c r="B169" t="s">
        <v>258</v>
      </c>
      <c r="C169" s="32">
        <v>437</v>
      </c>
      <c r="D169" t="s">
        <v>210</v>
      </c>
      <c r="E169" t="s">
        <v>32</v>
      </c>
      <c r="F169" t="s">
        <v>33</v>
      </c>
      <c r="G169" t="s">
        <v>34</v>
      </c>
      <c r="H169" t="b">
        <v>1</v>
      </c>
      <c r="I169" t="b">
        <v>0</v>
      </c>
      <c r="J169" s="32">
        <v>69</v>
      </c>
      <c r="K169" t="b">
        <v>1</v>
      </c>
      <c r="L169" t="s">
        <v>35</v>
      </c>
      <c r="M169" t="s">
        <v>211</v>
      </c>
    </row>
    <row r="170" spans="1:13" x14ac:dyDescent="0.25">
      <c r="A170">
        <v>169</v>
      </c>
      <c r="B170" t="s">
        <v>259</v>
      </c>
      <c r="C170" s="32">
        <v>438</v>
      </c>
      <c r="D170" t="s">
        <v>213</v>
      </c>
      <c r="E170" t="s">
        <v>32</v>
      </c>
      <c r="F170" t="s">
        <v>33</v>
      </c>
      <c r="G170" t="s">
        <v>34</v>
      </c>
      <c r="H170" t="b">
        <v>1</v>
      </c>
      <c r="I170" t="b">
        <v>0</v>
      </c>
      <c r="J170" s="32">
        <v>69</v>
      </c>
      <c r="K170" t="b">
        <v>1</v>
      </c>
      <c r="L170" t="s">
        <v>35</v>
      </c>
      <c r="M170" t="s">
        <v>211</v>
      </c>
    </row>
    <row r="171" spans="1:13" x14ac:dyDescent="0.25">
      <c r="A171">
        <v>170</v>
      </c>
      <c r="B171" t="s">
        <v>260</v>
      </c>
      <c r="C171" s="32">
        <v>439</v>
      </c>
      <c r="D171" t="s">
        <v>133</v>
      </c>
      <c r="E171" t="s">
        <v>32</v>
      </c>
      <c r="F171" t="s">
        <v>33</v>
      </c>
      <c r="G171" t="s">
        <v>34</v>
      </c>
      <c r="H171" t="b">
        <v>1</v>
      </c>
      <c r="I171" t="b">
        <v>0</v>
      </c>
      <c r="J171" s="32">
        <v>77</v>
      </c>
      <c r="K171" t="b">
        <v>1</v>
      </c>
      <c r="L171" t="s">
        <v>35</v>
      </c>
      <c r="M171" t="s">
        <v>134</v>
      </c>
    </row>
    <row r="172" spans="1:13" x14ac:dyDescent="0.25">
      <c r="A172">
        <v>171</v>
      </c>
      <c r="B172" t="s">
        <v>261</v>
      </c>
      <c r="C172" s="32">
        <v>440</v>
      </c>
      <c r="D172" t="s">
        <v>216</v>
      </c>
      <c r="E172" t="s">
        <v>32</v>
      </c>
      <c r="F172" t="s">
        <v>33</v>
      </c>
      <c r="G172" t="s">
        <v>34</v>
      </c>
      <c r="H172" t="b">
        <v>1</v>
      </c>
      <c r="I172" t="b">
        <v>0</v>
      </c>
      <c r="J172" s="32">
        <v>69</v>
      </c>
      <c r="K172" t="b">
        <v>1</v>
      </c>
      <c r="L172" t="s">
        <v>35</v>
      </c>
      <c r="M172" t="s">
        <v>211</v>
      </c>
    </row>
    <row r="173" spans="1:13" x14ac:dyDescent="0.25">
      <c r="A173">
        <v>172</v>
      </c>
      <c r="B173" t="s">
        <v>262</v>
      </c>
      <c r="C173" s="32">
        <v>441</v>
      </c>
      <c r="D173" t="s">
        <v>218</v>
      </c>
      <c r="E173" t="s">
        <v>32</v>
      </c>
      <c r="F173" t="s">
        <v>33</v>
      </c>
      <c r="G173" t="s">
        <v>34</v>
      </c>
      <c r="H173" t="b">
        <v>1</v>
      </c>
      <c r="I173" t="b">
        <v>0</v>
      </c>
      <c r="J173" s="32">
        <v>69</v>
      </c>
      <c r="K173" t="b">
        <v>1</v>
      </c>
      <c r="L173" t="s">
        <v>35</v>
      </c>
      <c r="M173" t="s">
        <v>211</v>
      </c>
    </row>
    <row r="174" spans="1:13" x14ac:dyDescent="0.25">
      <c r="A174">
        <v>173</v>
      </c>
      <c r="B174" t="s">
        <v>263</v>
      </c>
      <c r="C174" s="32">
        <v>442</v>
      </c>
      <c r="D174" t="s">
        <v>220</v>
      </c>
      <c r="E174" t="s">
        <v>32</v>
      </c>
      <c r="F174" t="s">
        <v>33</v>
      </c>
      <c r="G174" t="s">
        <v>34</v>
      </c>
      <c r="H174" t="b">
        <v>1</v>
      </c>
      <c r="I174" t="b">
        <v>0</v>
      </c>
      <c r="J174" s="32">
        <v>73</v>
      </c>
      <c r="K174" t="b">
        <v>1</v>
      </c>
      <c r="L174" t="s">
        <v>35</v>
      </c>
      <c r="M174" t="s">
        <v>221</v>
      </c>
    </row>
    <row r="175" spans="1:13" x14ac:dyDescent="0.25">
      <c r="A175">
        <v>174</v>
      </c>
      <c r="B175" t="s">
        <v>264</v>
      </c>
      <c r="C175" s="32">
        <v>443</v>
      </c>
      <c r="D175" t="s">
        <v>223</v>
      </c>
      <c r="E175" t="s">
        <v>32</v>
      </c>
      <c r="F175" t="s">
        <v>33</v>
      </c>
      <c r="G175" t="s">
        <v>34</v>
      </c>
      <c r="H175" t="b">
        <v>1</v>
      </c>
      <c r="I175" t="b">
        <v>0</v>
      </c>
      <c r="J175" s="32">
        <v>75</v>
      </c>
      <c r="K175" t="b">
        <v>1</v>
      </c>
      <c r="L175" t="s">
        <v>35</v>
      </c>
      <c r="M175" t="s">
        <v>224</v>
      </c>
    </row>
    <row r="176" spans="1:13" x14ac:dyDescent="0.25">
      <c r="A176">
        <v>175</v>
      </c>
      <c r="B176" t="s">
        <v>265</v>
      </c>
      <c r="C176" s="32">
        <v>456</v>
      </c>
      <c r="D176" t="s">
        <v>116</v>
      </c>
      <c r="E176" t="s">
        <v>32</v>
      </c>
      <c r="F176" t="s">
        <v>33</v>
      </c>
      <c r="G176" t="s">
        <v>34</v>
      </c>
      <c r="H176" t="b">
        <v>1</v>
      </c>
      <c r="I176" t="b">
        <v>0</v>
      </c>
      <c r="J176" s="32">
        <v>65</v>
      </c>
      <c r="K176" t="b">
        <v>1</v>
      </c>
      <c r="L176" t="s">
        <v>35</v>
      </c>
      <c r="M176" t="s">
        <v>205</v>
      </c>
    </row>
    <row r="177" spans="1:13" x14ac:dyDescent="0.25">
      <c r="A177">
        <v>176</v>
      </c>
      <c r="B177" t="s">
        <v>266</v>
      </c>
      <c r="C177" s="32">
        <v>457</v>
      </c>
      <c r="D177" t="s">
        <v>119</v>
      </c>
      <c r="E177" t="s">
        <v>32</v>
      </c>
      <c r="F177" t="s">
        <v>33</v>
      </c>
      <c r="G177" t="s">
        <v>34</v>
      </c>
      <c r="H177" t="b">
        <v>1</v>
      </c>
      <c r="I177" t="b">
        <v>0</v>
      </c>
      <c r="J177" s="32">
        <v>67</v>
      </c>
      <c r="K177" t="b">
        <v>1</v>
      </c>
      <c r="L177" t="s">
        <v>35</v>
      </c>
      <c r="M177" t="s">
        <v>207</v>
      </c>
    </row>
    <row r="178" spans="1:13" x14ac:dyDescent="0.25">
      <c r="A178">
        <v>177</v>
      </c>
      <c r="B178" t="s">
        <v>267</v>
      </c>
      <c r="C178" s="32">
        <v>463</v>
      </c>
      <c r="D178" t="s">
        <v>123</v>
      </c>
      <c r="E178" t="s">
        <v>32</v>
      </c>
      <c r="F178" t="s">
        <v>33</v>
      </c>
      <c r="G178" t="s">
        <v>34</v>
      </c>
      <c r="H178" t="b">
        <v>1</v>
      </c>
      <c r="I178" t="b">
        <v>0</v>
      </c>
      <c r="J178" s="32">
        <v>13</v>
      </c>
      <c r="K178" t="b">
        <v>1</v>
      </c>
      <c r="L178" t="s">
        <v>35</v>
      </c>
      <c r="M178" t="s">
        <v>124</v>
      </c>
    </row>
    <row r="179" spans="1:13" x14ac:dyDescent="0.25">
      <c r="A179">
        <v>178</v>
      </c>
      <c r="B179" t="s">
        <v>268</v>
      </c>
      <c r="C179" s="32">
        <v>467</v>
      </c>
      <c r="D179" t="s">
        <v>210</v>
      </c>
      <c r="E179" t="s">
        <v>32</v>
      </c>
      <c r="F179" t="s">
        <v>33</v>
      </c>
      <c r="G179" t="s">
        <v>34</v>
      </c>
      <c r="H179" t="b">
        <v>1</v>
      </c>
      <c r="I179" t="b">
        <v>0</v>
      </c>
      <c r="J179" s="32">
        <v>69</v>
      </c>
      <c r="K179" t="b">
        <v>1</v>
      </c>
      <c r="L179" t="s">
        <v>35</v>
      </c>
      <c r="M179" t="s">
        <v>211</v>
      </c>
    </row>
    <row r="180" spans="1:13" x14ac:dyDescent="0.25">
      <c r="A180">
        <v>179</v>
      </c>
      <c r="B180" t="s">
        <v>269</v>
      </c>
      <c r="C180" s="32">
        <v>468</v>
      </c>
      <c r="D180" t="s">
        <v>213</v>
      </c>
      <c r="E180" t="s">
        <v>32</v>
      </c>
      <c r="F180" t="s">
        <v>33</v>
      </c>
      <c r="G180" t="s">
        <v>34</v>
      </c>
      <c r="H180" t="b">
        <v>1</v>
      </c>
      <c r="I180" t="b">
        <v>0</v>
      </c>
      <c r="J180" s="32">
        <v>69</v>
      </c>
      <c r="K180" t="b">
        <v>1</v>
      </c>
      <c r="L180" t="s">
        <v>35</v>
      </c>
      <c r="M180" t="s">
        <v>211</v>
      </c>
    </row>
    <row r="181" spans="1:13" x14ac:dyDescent="0.25">
      <c r="A181">
        <v>180</v>
      </c>
      <c r="B181" t="s">
        <v>270</v>
      </c>
      <c r="C181" s="32">
        <v>469</v>
      </c>
      <c r="D181" t="s">
        <v>133</v>
      </c>
      <c r="E181" t="s">
        <v>32</v>
      </c>
      <c r="F181" t="s">
        <v>33</v>
      </c>
      <c r="G181" t="s">
        <v>34</v>
      </c>
      <c r="H181" t="b">
        <v>1</v>
      </c>
      <c r="I181" t="b">
        <v>0</v>
      </c>
      <c r="J181" s="32">
        <v>77</v>
      </c>
      <c r="K181" t="b">
        <v>1</v>
      </c>
      <c r="L181" t="s">
        <v>35</v>
      </c>
      <c r="M181" t="s">
        <v>134</v>
      </c>
    </row>
    <row r="182" spans="1:13" x14ac:dyDescent="0.25">
      <c r="A182">
        <v>181</v>
      </c>
      <c r="B182" t="s">
        <v>271</v>
      </c>
      <c r="C182" s="32">
        <v>470</v>
      </c>
      <c r="D182" t="s">
        <v>216</v>
      </c>
      <c r="E182" t="s">
        <v>32</v>
      </c>
      <c r="F182" t="s">
        <v>33</v>
      </c>
      <c r="G182" t="s">
        <v>34</v>
      </c>
      <c r="H182" t="b">
        <v>1</v>
      </c>
      <c r="I182" t="b">
        <v>0</v>
      </c>
      <c r="J182" s="32">
        <v>69</v>
      </c>
      <c r="K182" t="b">
        <v>1</v>
      </c>
      <c r="L182" t="s">
        <v>35</v>
      </c>
      <c r="M182" t="s">
        <v>211</v>
      </c>
    </row>
    <row r="183" spans="1:13" x14ac:dyDescent="0.25">
      <c r="A183">
        <v>182</v>
      </c>
      <c r="B183" t="s">
        <v>272</v>
      </c>
      <c r="C183" s="32">
        <v>471</v>
      </c>
      <c r="D183" t="s">
        <v>218</v>
      </c>
      <c r="E183" t="s">
        <v>32</v>
      </c>
      <c r="F183" t="s">
        <v>33</v>
      </c>
      <c r="G183" t="s">
        <v>34</v>
      </c>
      <c r="H183" t="b">
        <v>1</v>
      </c>
      <c r="I183" t="b">
        <v>0</v>
      </c>
      <c r="J183" s="32">
        <v>69</v>
      </c>
      <c r="K183" t="b">
        <v>1</v>
      </c>
      <c r="L183" t="s">
        <v>35</v>
      </c>
      <c r="M183" t="s">
        <v>211</v>
      </c>
    </row>
    <row r="184" spans="1:13" x14ac:dyDescent="0.25">
      <c r="A184">
        <v>183</v>
      </c>
      <c r="B184" t="s">
        <v>273</v>
      </c>
      <c r="C184" s="32">
        <v>472</v>
      </c>
      <c r="D184" t="s">
        <v>220</v>
      </c>
      <c r="E184" t="s">
        <v>32</v>
      </c>
      <c r="F184" t="s">
        <v>33</v>
      </c>
      <c r="G184" t="s">
        <v>34</v>
      </c>
      <c r="H184" t="b">
        <v>1</v>
      </c>
      <c r="I184" t="b">
        <v>0</v>
      </c>
      <c r="J184" s="32">
        <v>73</v>
      </c>
      <c r="K184" t="b">
        <v>1</v>
      </c>
      <c r="L184" t="s">
        <v>35</v>
      </c>
      <c r="M184" t="s">
        <v>221</v>
      </c>
    </row>
    <row r="185" spans="1:13" x14ac:dyDescent="0.25">
      <c r="A185">
        <v>184</v>
      </c>
      <c r="B185" t="s">
        <v>274</v>
      </c>
      <c r="C185" s="32">
        <v>473</v>
      </c>
      <c r="D185" t="s">
        <v>223</v>
      </c>
      <c r="E185" t="s">
        <v>32</v>
      </c>
      <c r="F185" t="s">
        <v>33</v>
      </c>
      <c r="G185" t="s">
        <v>34</v>
      </c>
      <c r="H185" t="b">
        <v>1</v>
      </c>
      <c r="I185" t="b">
        <v>0</v>
      </c>
      <c r="J185" s="32">
        <v>75</v>
      </c>
      <c r="K185" t="b">
        <v>1</v>
      </c>
      <c r="L185" t="s">
        <v>35</v>
      </c>
      <c r="M185" t="s">
        <v>224</v>
      </c>
    </row>
    <row r="186" spans="1:13" x14ac:dyDescent="0.25">
      <c r="A186">
        <v>185</v>
      </c>
      <c r="B186" t="s">
        <v>275</v>
      </c>
      <c r="C186" s="32">
        <v>488</v>
      </c>
      <c r="D186" t="s">
        <v>123</v>
      </c>
      <c r="E186" t="s">
        <v>32</v>
      </c>
      <c r="F186" t="s">
        <v>33</v>
      </c>
      <c r="G186" t="s">
        <v>34</v>
      </c>
      <c r="H186" t="b">
        <v>1</v>
      </c>
      <c r="I186" t="b">
        <v>0</v>
      </c>
      <c r="J186" s="32">
        <v>13</v>
      </c>
      <c r="K186" t="b">
        <v>1</v>
      </c>
      <c r="L186" t="s">
        <v>35</v>
      </c>
      <c r="M186" t="s">
        <v>124</v>
      </c>
    </row>
    <row r="187" spans="1:13" x14ac:dyDescent="0.25">
      <c r="A187">
        <v>186</v>
      </c>
      <c r="B187" t="s">
        <v>276</v>
      </c>
      <c r="C187" s="32">
        <v>492</v>
      </c>
      <c r="D187" t="s">
        <v>277</v>
      </c>
      <c r="E187" t="s">
        <v>32</v>
      </c>
      <c r="F187" t="s">
        <v>33</v>
      </c>
      <c r="G187" t="s">
        <v>34</v>
      </c>
      <c r="H187" t="b">
        <v>1</v>
      </c>
      <c r="I187" t="b">
        <v>0</v>
      </c>
      <c r="J187" s="32">
        <v>79</v>
      </c>
      <c r="K187" t="b">
        <v>1</v>
      </c>
      <c r="L187" t="s">
        <v>35</v>
      </c>
      <c r="M187" t="s">
        <v>278</v>
      </c>
    </row>
    <row r="188" spans="1:13" x14ac:dyDescent="0.25">
      <c r="A188">
        <v>187</v>
      </c>
      <c r="B188" t="s">
        <v>279</v>
      </c>
      <c r="C188" s="32">
        <v>493</v>
      </c>
      <c r="D188" t="s">
        <v>280</v>
      </c>
      <c r="E188" t="s">
        <v>32</v>
      </c>
      <c r="F188" t="s">
        <v>33</v>
      </c>
      <c r="G188" t="s">
        <v>34</v>
      </c>
      <c r="H188" t="b">
        <v>1</v>
      </c>
      <c r="I188" t="b">
        <v>0</v>
      </c>
      <c r="J188" s="32">
        <v>79</v>
      </c>
      <c r="K188" t="b">
        <v>1</v>
      </c>
      <c r="L188" t="s">
        <v>35</v>
      </c>
      <c r="M188" t="s">
        <v>278</v>
      </c>
    </row>
    <row r="189" spans="1:13" x14ac:dyDescent="0.25">
      <c r="A189">
        <v>188</v>
      </c>
      <c r="B189" t="s">
        <v>281</v>
      </c>
      <c r="C189" s="32">
        <v>494</v>
      </c>
      <c r="D189" t="s">
        <v>282</v>
      </c>
      <c r="E189" t="s">
        <v>32</v>
      </c>
      <c r="F189" t="s">
        <v>33</v>
      </c>
      <c r="G189" t="s">
        <v>34</v>
      </c>
      <c r="H189" t="b">
        <v>1</v>
      </c>
      <c r="I189" t="b">
        <v>0</v>
      </c>
      <c r="J189" s="32">
        <v>79</v>
      </c>
      <c r="K189" t="b">
        <v>1</v>
      </c>
      <c r="L189" t="s">
        <v>35</v>
      </c>
      <c r="M189" t="s">
        <v>278</v>
      </c>
    </row>
    <row r="190" spans="1:13" x14ac:dyDescent="0.25">
      <c r="A190">
        <v>189</v>
      </c>
      <c r="B190" t="s">
        <v>283</v>
      </c>
      <c r="C190" s="32">
        <v>495</v>
      </c>
      <c r="D190" t="s">
        <v>284</v>
      </c>
      <c r="E190" t="s">
        <v>32</v>
      </c>
      <c r="F190" t="s">
        <v>33</v>
      </c>
      <c r="G190" t="s">
        <v>34</v>
      </c>
      <c r="H190" t="b">
        <v>1</v>
      </c>
      <c r="I190" t="b">
        <v>0</v>
      </c>
      <c r="J190" s="32">
        <v>79</v>
      </c>
      <c r="K190" t="b">
        <v>1</v>
      </c>
      <c r="L190" t="s">
        <v>35</v>
      </c>
      <c r="M190" t="s">
        <v>278</v>
      </c>
    </row>
    <row r="191" spans="1:13" x14ac:dyDescent="0.25">
      <c r="A191">
        <v>190</v>
      </c>
      <c r="B191" t="s">
        <v>285</v>
      </c>
      <c r="C191" s="32">
        <v>496</v>
      </c>
      <c r="D191" t="s">
        <v>286</v>
      </c>
      <c r="E191" t="s">
        <v>32</v>
      </c>
      <c r="F191" t="s">
        <v>33</v>
      </c>
      <c r="G191" t="s">
        <v>34</v>
      </c>
      <c r="H191" t="b">
        <v>1</v>
      </c>
      <c r="I191" t="b">
        <v>0</v>
      </c>
      <c r="J191" s="32">
        <v>79</v>
      </c>
      <c r="K191" t="b">
        <v>1</v>
      </c>
      <c r="L191" t="s">
        <v>35</v>
      </c>
      <c r="M191" t="s">
        <v>278</v>
      </c>
    </row>
    <row r="192" spans="1:13" x14ac:dyDescent="0.25">
      <c r="A192">
        <v>191</v>
      </c>
      <c r="B192" t="s">
        <v>287</v>
      </c>
      <c r="C192" s="32">
        <v>497</v>
      </c>
      <c r="D192" t="s">
        <v>288</v>
      </c>
      <c r="E192" t="s">
        <v>32</v>
      </c>
      <c r="F192" t="s">
        <v>33</v>
      </c>
      <c r="G192" t="s">
        <v>34</v>
      </c>
      <c r="H192" t="b">
        <v>1</v>
      </c>
      <c r="I192" t="b">
        <v>0</v>
      </c>
      <c r="J192" s="32">
        <v>79</v>
      </c>
      <c r="K192" t="b">
        <v>1</v>
      </c>
      <c r="L192" t="s">
        <v>35</v>
      </c>
      <c r="M192" t="s">
        <v>278</v>
      </c>
    </row>
    <row r="193" spans="1:13" x14ac:dyDescent="0.25">
      <c r="A193">
        <v>192</v>
      </c>
      <c r="B193" t="s">
        <v>289</v>
      </c>
      <c r="C193" s="32">
        <v>498</v>
      </c>
      <c r="D193" t="s">
        <v>290</v>
      </c>
      <c r="E193" t="s">
        <v>32</v>
      </c>
      <c r="F193" t="s">
        <v>33</v>
      </c>
      <c r="G193" t="s">
        <v>34</v>
      </c>
      <c r="H193" t="b">
        <v>1</v>
      </c>
      <c r="I193" t="b">
        <v>0</v>
      </c>
      <c r="J193" s="32">
        <v>81</v>
      </c>
      <c r="K193" t="b">
        <v>1</v>
      </c>
      <c r="L193" t="s">
        <v>35</v>
      </c>
      <c r="M193" t="s">
        <v>291</v>
      </c>
    </row>
    <row r="194" spans="1:13" x14ac:dyDescent="0.25">
      <c r="A194">
        <v>193</v>
      </c>
      <c r="B194" t="s">
        <v>292</v>
      </c>
      <c r="C194" s="32">
        <v>499</v>
      </c>
      <c r="D194" t="s">
        <v>293</v>
      </c>
      <c r="E194" t="s">
        <v>32</v>
      </c>
      <c r="F194" t="s">
        <v>33</v>
      </c>
      <c r="G194" t="s">
        <v>34</v>
      </c>
      <c r="H194" t="b">
        <v>1</v>
      </c>
      <c r="I194" t="b">
        <v>0</v>
      </c>
      <c r="J194" s="32">
        <v>81</v>
      </c>
      <c r="K194" t="b">
        <v>1</v>
      </c>
      <c r="L194" t="s">
        <v>35</v>
      </c>
      <c r="M194" t="s">
        <v>291</v>
      </c>
    </row>
    <row r="195" spans="1:13" x14ac:dyDescent="0.25">
      <c r="A195">
        <v>194</v>
      </c>
      <c r="B195" t="s">
        <v>294</v>
      </c>
      <c r="C195" s="32">
        <v>500</v>
      </c>
      <c r="D195" t="s">
        <v>295</v>
      </c>
      <c r="E195" t="s">
        <v>32</v>
      </c>
      <c r="F195" t="s">
        <v>33</v>
      </c>
      <c r="G195" t="s">
        <v>34</v>
      </c>
      <c r="H195" t="b">
        <v>1</v>
      </c>
      <c r="I195" t="b">
        <v>0</v>
      </c>
      <c r="J195" s="32">
        <v>81</v>
      </c>
      <c r="K195" t="b">
        <v>1</v>
      </c>
      <c r="L195" t="s">
        <v>35</v>
      </c>
      <c r="M195" t="s">
        <v>291</v>
      </c>
    </row>
    <row r="196" spans="1:13" x14ac:dyDescent="0.25">
      <c r="A196">
        <v>195</v>
      </c>
      <c r="B196" t="s">
        <v>296</v>
      </c>
      <c r="C196" s="32">
        <v>501</v>
      </c>
      <c r="D196" t="s">
        <v>220</v>
      </c>
      <c r="E196" t="s">
        <v>32</v>
      </c>
      <c r="F196" t="s">
        <v>33</v>
      </c>
      <c r="G196" t="s">
        <v>34</v>
      </c>
      <c r="H196" t="b">
        <v>1</v>
      </c>
      <c r="I196" t="b">
        <v>0</v>
      </c>
      <c r="J196" s="32">
        <v>85</v>
      </c>
      <c r="K196" t="b">
        <v>1</v>
      </c>
      <c r="L196" t="s">
        <v>35</v>
      </c>
      <c r="M196" t="s">
        <v>297</v>
      </c>
    </row>
    <row r="197" spans="1:13" x14ac:dyDescent="0.25">
      <c r="A197">
        <v>196</v>
      </c>
      <c r="B197" t="s">
        <v>298</v>
      </c>
      <c r="C197" s="32">
        <v>502</v>
      </c>
      <c r="D197" t="s">
        <v>299</v>
      </c>
      <c r="E197" t="s">
        <v>32</v>
      </c>
      <c r="F197" t="s">
        <v>33</v>
      </c>
      <c r="G197" t="s">
        <v>34</v>
      </c>
      <c r="H197" t="b">
        <v>1</v>
      </c>
      <c r="I197" t="b">
        <v>0</v>
      </c>
      <c r="J197" s="32">
        <v>85</v>
      </c>
      <c r="K197" t="b">
        <v>1</v>
      </c>
      <c r="L197" t="s">
        <v>35</v>
      </c>
      <c r="M197" t="s">
        <v>297</v>
      </c>
    </row>
    <row r="198" spans="1:13" x14ac:dyDescent="0.25">
      <c r="A198">
        <v>197</v>
      </c>
      <c r="B198" t="s">
        <v>300</v>
      </c>
      <c r="C198" s="32">
        <v>507</v>
      </c>
      <c r="D198" t="s">
        <v>301</v>
      </c>
      <c r="E198" t="s">
        <v>32</v>
      </c>
      <c r="F198" t="s">
        <v>33</v>
      </c>
      <c r="G198" t="s">
        <v>34</v>
      </c>
      <c r="H198" t="b">
        <v>1</v>
      </c>
      <c r="I198" t="b">
        <v>0</v>
      </c>
      <c r="J198" s="32">
        <v>85</v>
      </c>
      <c r="K198" t="b">
        <v>1</v>
      </c>
      <c r="L198" t="s">
        <v>35</v>
      </c>
      <c r="M198" t="s">
        <v>297</v>
      </c>
    </row>
    <row r="199" spans="1:13" x14ac:dyDescent="0.25">
      <c r="A199">
        <v>198</v>
      </c>
      <c r="B199" t="s">
        <v>302</v>
      </c>
      <c r="C199" s="32">
        <v>516</v>
      </c>
      <c r="D199" t="s">
        <v>123</v>
      </c>
      <c r="E199" t="s">
        <v>32</v>
      </c>
      <c r="F199" t="s">
        <v>33</v>
      </c>
      <c r="G199" t="s">
        <v>34</v>
      </c>
      <c r="H199" t="b">
        <v>1</v>
      </c>
      <c r="I199" t="b">
        <v>0</v>
      </c>
      <c r="J199" s="32">
        <v>13</v>
      </c>
      <c r="K199" t="b">
        <v>1</v>
      </c>
      <c r="L199" t="s">
        <v>35</v>
      </c>
      <c r="M199" t="s">
        <v>124</v>
      </c>
    </row>
    <row r="200" spans="1:13" x14ac:dyDescent="0.25">
      <c r="A200">
        <v>199</v>
      </c>
      <c r="B200" t="s">
        <v>303</v>
      </c>
      <c r="C200" s="32">
        <v>520</v>
      </c>
      <c r="D200" t="s">
        <v>277</v>
      </c>
      <c r="E200" t="s">
        <v>32</v>
      </c>
      <c r="F200" t="s">
        <v>33</v>
      </c>
      <c r="G200" t="s">
        <v>34</v>
      </c>
      <c r="H200" t="b">
        <v>1</v>
      </c>
      <c r="I200" t="b">
        <v>0</v>
      </c>
      <c r="J200" s="32">
        <v>79</v>
      </c>
      <c r="K200" t="b">
        <v>1</v>
      </c>
      <c r="L200" t="s">
        <v>35</v>
      </c>
      <c r="M200" t="s">
        <v>278</v>
      </c>
    </row>
    <row r="201" spans="1:13" x14ac:dyDescent="0.25">
      <c r="A201">
        <v>200</v>
      </c>
      <c r="B201" t="s">
        <v>304</v>
      </c>
      <c r="C201" s="32">
        <v>521</v>
      </c>
      <c r="D201" t="s">
        <v>280</v>
      </c>
      <c r="E201" t="s">
        <v>32</v>
      </c>
      <c r="F201" t="s">
        <v>33</v>
      </c>
      <c r="G201" t="s">
        <v>34</v>
      </c>
      <c r="H201" t="b">
        <v>1</v>
      </c>
      <c r="I201" t="b">
        <v>0</v>
      </c>
      <c r="J201" s="32">
        <v>79</v>
      </c>
      <c r="K201" t="b">
        <v>1</v>
      </c>
      <c r="L201" t="s">
        <v>35</v>
      </c>
      <c r="M201" t="s">
        <v>278</v>
      </c>
    </row>
    <row r="202" spans="1:13" x14ac:dyDescent="0.25">
      <c r="A202">
        <v>201</v>
      </c>
      <c r="B202" t="s">
        <v>305</v>
      </c>
      <c r="C202" s="32">
        <v>522</v>
      </c>
      <c r="D202" t="s">
        <v>282</v>
      </c>
      <c r="E202" t="s">
        <v>32</v>
      </c>
      <c r="F202" t="s">
        <v>33</v>
      </c>
      <c r="G202" t="s">
        <v>34</v>
      </c>
      <c r="H202" t="b">
        <v>1</v>
      </c>
      <c r="I202" t="b">
        <v>0</v>
      </c>
      <c r="J202" s="32">
        <v>79</v>
      </c>
      <c r="K202" t="b">
        <v>1</v>
      </c>
      <c r="L202" t="s">
        <v>35</v>
      </c>
      <c r="M202" t="s">
        <v>278</v>
      </c>
    </row>
    <row r="203" spans="1:13" x14ac:dyDescent="0.25">
      <c r="A203">
        <v>202</v>
      </c>
      <c r="B203" t="s">
        <v>306</v>
      </c>
      <c r="C203" s="32">
        <v>523</v>
      </c>
      <c r="D203" t="s">
        <v>284</v>
      </c>
      <c r="E203" t="s">
        <v>32</v>
      </c>
      <c r="F203" t="s">
        <v>33</v>
      </c>
      <c r="G203" t="s">
        <v>34</v>
      </c>
      <c r="H203" t="b">
        <v>1</v>
      </c>
      <c r="I203" t="b">
        <v>0</v>
      </c>
      <c r="J203" s="32">
        <v>79</v>
      </c>
      <c r="K203" t="b">
        <v>1</v>
      </c>
      <c r="L203" t="s">
        <v>35</v>
      </c>
      <c r="M203" t="s">
        <v>278</v>
      </c>
    </row>
    <row r="204" spans="1:13" x14ac:dyDescent="0.25">
      <c r="A204">
        <v>203</v>
      </c>
      <c r="B204" t="s">
        <v>307</v>
      </c>
      <c r="C204" s="32">
        <v>524</v>
      </c>
      <c r="D204" t="s">
        <v>286</v>
      </c>
      <c r="E204" t="s">
        <v>32</v>
      </c>
      <c r="F204" t="s">
        <v>33</v>
      </c>
      <c r="G204" t="s">
        <v>34</v>
      </c>
      <c r="H204" t="b">
        <v>1</v>
      </c>
      <c r="I204" t="b">
        <v>0</v>
      </c>
      <c r="J204" s="32">
        <v>79</v>
      </c>
      <c r="K204" t="b">
        <v>1</v>
      </c>
      <c r="L204" t="s">
        <v>35</v>
      </c>
      <c r="M204" t="s">
        <v>278</v>
      </c>
    </row>
    <row r="205" spans="1:13" x14ac:dyDescent="0.25">
      <c r="A205">
        <v>204</v>
      </c>
      <c r="B205" t="s">
        <v>308</v>
      </c>
      <c r="C205" s="32">
        <v>525</v>
      </c>
      <c r="D205" t="s">
        <v>288</v>
      </c>
      <c r="E205" t="s">
        <v>32</v>
      </c>
      <c r="F205" t="s">
        <v>33</v>
      </c>
      <c r="G205" t="s">
        <v>34</v>
      </c>
      <c r="H205" t="b">
        <v>1</v>
      </c>
      <c r="I205" t="b">
        <v>0</v>
      </c>
      <c r="J205" s="32">
        <v>79</v>
      </c>
      <c r="K205" t="b">
        <v>1</v>
      </c>
      <c r="L205" t="s">
        <v>35</v>
      </c>
      <c r="M205" t="s">
        <v>278</v>
      </c>
    </row>
    <row r="206" spans="1:13" x14ac:dyDescent="0.25">
      <c r="A206">
        <v>205</v>
      </c>
      <c r="B206" t="s">
        <v>309</v>
      </c>
      <c r="C206" s="32">
        <v>526</v>
      </c>
      <c r="D206" t="s">
        <v>290</v>
      </c>
      <c r="E206" t="s">
        <v>32</v>
      </c>
      <c r="F206" t="s">
        <v>33</v>
      </c>
      <c r="G206" t="s">
        <v>34</v>
      </c>
      <c r="H206" t="b">
        <v>1</v>
      </c>
      <c r="I206" t="b">
        <v>0</v>
      </c>
      <c r="J206" s="32">
        <v>81</v>
      </c>
      <c r="K206" t="b">
        <v>1</v>
      </c>
      <c r="L206" t="s">
        <v>35</v>
      </c>
      <c r="M206" t="s">
        <v>291</v>
      </c>
    </row>
    <row r="207" spans="1:13" x14ac:dyDescent="0.25">
      <c r="A207">
        <v>206</v>
      </c>
      <c r="B207" t="s">
        <v>310</v>
      </c>
      <c r="C207" s="32">
        <v>527</v>
      </c>
      <c r="D207" t="s">
        <v>293</v>
      </c>
      <c r="E207" t="s">
        <v>32</v>
      </c>
      <c r="F207" t="s">
        <v>33</v>
      </c>
      <c r="G207" t="s">
        <v>34</v>
      </c>
      <c r="H207" t="b">
        <v>1</v>
      </c>
      <c r="I207" t="b">
        <v>0</v>
      </c>
      <c r="J207" s="32">
        <v>81</v>
      </c>
      <c r="K207" t="b">
        <v>1</v>
      </c>
      <c r="L207" t="s">
        <v>35</v>
      </c>
      <c r="M207" t="s">
        <v>291</v>
      </c>
    </row>
    <row r="208" spans="1:13" x14ac:dyDescent="0.25">
      <c r="A208">
        <v>207</v>
      </c>
      <c r="B208" t="s">
        <v>311</v>
      </c>
      <c r="C208" s="32">
        <v>528</v>
      </c>
      <c r="D208" t="s">
        <v>295</v>
      </c>
      <c r="E208" t="s">
        <v>32</v>
      </c>
      <c r="F208" t="s">
        <v>33</v>
      </c>
      <c r="G208" t="s">
        <v>34</v>
      </c>
      <c r="H208" t="b">
        <v>1</v>
      </c>
      <c r="I208" t="b">
        <v>0</v>
      </c>
      <c r="J208" s="32">
        <v>81</v>
      </c>
      <c r="K208" t="b">
        <v>1</v>
      </c>
      <c r="L208" t="s">
        <v>35</v>
      </c>
      <c r="M208" t="s">
        <v>291</v>
      </c>
    </row>
    <row r="209" spans="1:13" x14ac:dyDescent="0.25">
      <c r="A209">
        <v>208</v>
      </c>
      <c r="B209" t="s">
        <v>312</v>
      </c>
      <c r="C209" s="32">
        <v>529</v>
      </c>
      <c r="D209" t="s">
        <v>220</v>
      </c>
      <c r="E209" t="s">
        <v>32</v>
      </c>
      <c r="F209" t="s">
        <v>33</v>
      </c>
      <c r="G209" t="s">
        <v>34</v>
      </c>
      <c r="H209" t="b">
        <v>1</v>
      </c>
      <c r="I209" t="b">
        <v>0</v>
      </c>
      <c r="J209" s="32">
        <v>85</v>
      </c>
      <c r="K209" t="b">
        <v>1</v>
      </c>
      <c r="L209" t="s">
        <v>35</v>
      </c>
      <c r="M209" t="s">
        <v>297</v>
      </c>
    </row>
    <row r="210" spans="1:13" x14ac:dyDescent="0.25">
      <c r="A210">
        <v>209</v>
      </c>
      <c r="B210" t="s">
        <v>313</v>
      </c>
      <c r="C210" s="32">
        <v>530</v>
      </c>
      <c r="D210" t="s">
        <v>299</v>
      </c>
      <c r="E210" t="s">
        <v>32</v>
      </c>
      <c r="F210" t="s">
        <v>33</v>
      </c>
      <c r="G210" t="s">
        <v>34</v>
      </c>
      <c r="H210" t="b">
        <v>1</v>
      </c>
      <c r="I210" t="b">
        <v>0</v>
      </c>
      <c r="J210" s="32">
        <v>85</v>
      </c>
      <c r="K210" t="b">
        <v>1</v>
      </c>
      <c r="L210" t="s">
        <v>35</v>
      </c>
      <c r="M210" t="s">
        <v>297</v>
      </c>
    </row>
    <row r="211" spans="1:13" x14ac:dyDescent="0.25">
      <c r="A211">
        <v>210</v>
      </c>
      <c r="B211" t="s">
        <v>314</v>
      </c>
      <c r="C211" s="32">
        <v>535</v>
      </c>
      <c r="D211" t="s">
        <v>301</v>
      </c>
      <c r="E211" t="s">
        <v>32</v>
      </c>
      <c r="F211" t="s">
        <v>33</v>
      </c>
      <c r="G211" t="s">
        <v>34</v>
      </c>
      <c r="H211" t="b">
        <v>1</v>
      </c>
      <c r="I211" t="b">
        <v>0</v>
      </c>
      <c r="J211" s="32">
        <v>85</v>
      </c>
      <c r="K211" t="b">
        <v>1</v>
      </c>
      <c r="L211" t="s">
        <v>35</v>
      </c>
      <c r="M211" t="s">
        <v>297</v>
      </c>
    </row>
    <row r="212" spans="1:13" x14ac:dyDescent="0.25">
      <c r="A212">
        <v>211</v>
      </c>
      <c r="B212" t="s">
        <v>315</v>
      </c>
      <c r="C212" s="32">
        <v>544</v>
      </c>
      <c r="D212" t="s">
        <v>123</v>
      </c>
      <c r="E212" t="s">
        <v>32</v>
      </c>
      <c r="F212" t="s">
        <v>33</v>
      </c>
      <c r="G212" t="s">
        <v>34</v>
      </c>
      <c r="H212" t="b">
        <v>1</v>
      </c>
      <c r="I212" t="b">
        <v>0</v>
      </c>
      <c r="J212" s="32">
        <v>13</v>
      </c>
      <c r="K212" t="b">
        <v>1</v>
      </c>
      <c r="L212" t="s">
        <v>35</v>
      </c>
      <c r="M212" t="s">
        <v>124</v>
      </c>
    </row>
    <row r="213" spans="1:13" x14ac:dyDescent="0.25">
      <c r="A213">
        <v>212</v>
      </c>
      <c r="B213" t="s">
        <v>316</v>
      </c>
      <c r="C213" s="32">
        <v>548</v>
      </c>
      <c r="D213" t="s">
        <v>277</v>
      </c>
      <c r="E213" t="s">
        <v>32</v>
      </c>
      <c r="F213" t="s">
        <v>33</v>
      </c>
      <c r="G213" t="s">
        <v>34</v>
      </c>
      <c r="H213" t="b">
        <v>1</v>
      </c>
      <c r="I213" t="b">
        <v>0</v>
      </c>
      <c r="J213" s="32">
        <v>79</v>
      </c>
      <c r="K213" t="b">
        <v>1</v>
      </c>
      <c r="L213" t="s">
        <v>35</v>
      </c>
      <c r="M213" t="s">
        <v>278</v>
      </c>
    </row>
    <row r="214" spans="1:13" x14ac:dyDescent="0.25">
      <c r="A214">
        <v>213</v>
      </c>
      <c r="B214" t="s">
        <v>317</v>
      </c>
      <c r="C214" s="32">
        <v>549</v>
      </c>
      <c r="D214" t="s">
        <v>280</v>
      </c>
      <c r="E214" t="s">
        <v>32</v>
      </c>
      <c r="F214" t="s">
        <v>33</v>
      </c>
      <c r="G214" t="s">
        <v>34</v>
      </c>
      <c r="H214" t="b">
        <v>1</v>
      </c>
      <c r="I214" t="b">
        <v>0</v>
      </c>
      <c r="J214" s="32">
        <v>79</v>
      </c>
      <c r="K214" t="b">
        <v>1</v>
      </c>
      <c r="L214" t="s">
        <v>35</v>
      </c>
      <c r="M214" t="s">
        <v>278</v>
      </c>
    </row>
    <row r="215" spans="1:13" x14ac:dyDescent="0.25">
      <c r="A215">
        <v>214</v>
      </c>
      <c r="B215" t="s">
        <v>318</v>
      </c>
      <c r="C215" s="32">
        <v>550</v>
      </c>
      <c r="D215" t="s">
        <v>282</v>
      </c>
      <c r="E215" t="s">
        <v>32</v>
      </c>
      <c r="F215" t="s">
        <v>33</v>
      </c>
      <c r="G215" t="s">
        <v>34</v>
      </c>
      <c r="H215" t="b">
        <v>1</v>
      </c>
      <c r="I215" t="b">
        <v>0</v>
      </c>
      <c r="J215" s="32">
        <v>79</v>
      </c>
      <c r="K215" t="b">
        <v>1</v>
      </c>
      <c r="L215" t="s">
        <v>35</v>
      </c>
      <c r="M215" t="s">
        <v>278</v>
      </c>
    </row>
    <row r="216" spans="1:13" x14ac:dyDescent="0.25">
      <c r="A216">
        <v>215</v>
      </c>
      <c r="B216" t="s">
        <v>319</v>
      </c>
      <c r="C216" s="32">
        <v>551</v>
      </c>
      <c r="D216" t="s">
        <v>284</v>
      </c>
      <c r="E216" t="s">
        <v>32</v>
      </c>
      <c r="F216" t="s">
        <v>33</v>
      </c>
      <c r="G216" t="s">
        <v>34</v>
      </c>
      <c r="H216" t="b">
        <v>1</v>
      </c>
      <c r="I216" t="b">
        <v>0</v>
      </c>
      <c r="J216" s="32">
        <v>79</v>
      </c>
      <c r="K216" t="b">
        <v>1</v>
      </c>
      <c r="L216" t="s">
        <v>35</v>
      </c>
      <c r="M216" t="s">
        <v>278</v>
      </c>
    </row>
    <row r="217" spans="1:13" x14ac:dyDescent="0.25">
      <c r="A217">
        <v>216</v>
      </c>
      <c r="B217" t="s">
        <v>320</v>
      </c>
      <c r="C217" s="32">
        <v>552</v>
      </c>
      <c r="D217" t="s">
        <v>286</v>
      </c>
      <c r="E217" t="s">
        <v>32</v>
      </c>
      <c r="F217" t="s">
        <v>33</v>
      </c>
      <c r="G217" t="s">
        <v>34</v>
      </c>
      <c r="H217" t="b">
        <v>1</v>
      </c>
      <c r="I217" t="b">
        <v>0</v>
      </c>
      <c r="J217" s="32">
        <v>79</v>
      </c>
      <c r="K217" t="b">
        <v>1</v>
      </c>
      <c r="L217" t="s">
        <v>35</v>
      </c>
      <c r="M217" t="s">
        <v>278</v>
      </c>
    </row>
    <row r="218" spans="1:13" x14ac:dyDescent="0.25">
      <c r="A218">
        <v>217</v>
      </c>
      <c r="B218" t="s">
        <v>321</v>
      </c>
      <c r="C218" s="32">
        <v>553</v>
      </c>
      <c r="D218" t="s">
        <v>288</v>
      </c>
      <c r="E218" t="s">
        <v>32</v>
      </c>
      <c r="F218" t="s">
        <v>33</v>
      </c>
      <c r="G218" t="s">
        <v>34</v>
      </c>
      <c r="H218" t="b">
        <v>1</v>
      </c>
      <c r="I218" t="b">
        <v>0</v>
      </c>
      <c r="J218" s="32">
        <v>79</v>
      </c>
      <c r="K218" t="b">
        <v>1</v>
      </c>
      <c r="L218" t="s">
        <v>35</v>
      </c>
      <c r="M218" t="s">
        <v>278</v>
      </c>
    </row>
    <row r="219" spans="1:13" x14ac:dyDescent="0.25">
      <c r="A219">
        <v>218</v>
      </c>
      <c r="B219" t="s">
        <v>322</v>
      </c>
      <c r="C219" s="32">
        <v>554</v>
      </c>
      <c r="D219" t="s">
        <v>290</v>
      </c>
      <c r="E219" t="s">
        <v>32</v>
      </c>
      <c r="F219" t="s">
        <v>33</v>
      </c>
      <c r="G219" t="s">
        <v>34</v>
      </c>
      <c r="H219" t="b">
        <v>1</v>
      </c>
      <c r="I219" t="b">
        <v>0</v>
      </c>
      <c r="J219" s="32">
        <v>81</v>
      </c>
      <c r="K219" t="b">
        <v>1</v>
      </c>
      <c r="L219" t="s">
        <v>35</v>
      </c>
      <c r="M219" t="s">
        <v>291</v>
      </c>
    </row>
    <row r="220" spans="1:13" x14ac:dyDescent="0.25">
      <c r="A220">
        <v>219</v>
      </c>
      <c r="B220" t="s">
        <v>323</v>
      </c>
      <c r="C220" s="32">
        <v>555</v>
      </c>
      <c r="D220" t="s">
        <v>293</v>
      </c>
      <c r="E220" t="s">
        <v>32</v>
      </c>
      <c r="F220" t="s">
        <v>33</v>
      </c>
      <c r="G220" t="s">
        <v>34</v>
      </c>
      <c r="H220" t="b">
        <v>1</v>
      </c>
      <c r="I220" t="b">
        <v>0</v>
      </c>
      <c r="J220" s="32">
        <v>81</v>
      </c>
      <c r="K220" t="b">
        <v>1</v>
      </c>
      <c r="L220" t="s">
        <v>35</v>
      </c>
      <c r="M220" t="s">
        <v>291</v>
      </c>
    </row>
    <row r="221" spans="1:13" x14ac:dyDescent="0.25">
      <c r="A221">
        <v>220</v>
      </c>
      <c r="B221" t="s">
        <v>324</v>
      </c>
      <c r="C221" s="32">
        <v>556</v>
      </c>
      <c r="D221" t="s">
        <v>295</v>
      </c>
      <c r="E221" t="s">
        <v>32</v>
      </c>
      <c r="F221" t="s">
        <v>33</v>
      </c>
      <c r="G221" t="s">
        <v>34</v>
      </c>
      <c r="H221" t="b">
        <v>1</v>
      </c>
      <c r="I221" t="b">
        <v>0</v>
      </c>
      <c r="J221" s="32">
        <v>81</v>
      </c>
      <c r="K221" t="b">
        <v>1</v>
      </c>
      <c r="L221" t="s">
        <v>35</v>
      </c>
      <c r="M221" t="s">
        <v>291</v>
      </c>
    </row>
    <row r="222" spans="1:13" x14ac:dyDescent="0.25">
      <c r="A222">
        <v>221</v>
      </c>
      <c r="B222" t="s">
        <v>325</v>
      </c>
      <c r="C222" s="32">
        <v>557</v>
      </c>
      <c r="D222" t="s">
        <v>220</v>
      </c>
      <c r="E222" t="s">
        <v>32</v>
      </c>
      <c r="F222" t="s">
        <v>33</v>
      </c>
      <c r="G222" t="s">
        <v>34</v>
      </c>
      <c r="H222" t="b">
        <v>1</v>
      </c>
      <c r="I222" t="b">
        <v>0</v>
      </c>
      <c r="J222" s="32">
        <v>85</v>
      </c>
      <c r="K222" t="b">
        <v>1</v>
      </c>
      <c r="L222" t="s">
        <v>35</v>
      </c>
      <c r="M222" t="s">
        <v>297</v>
      </c>
    </row>
    <row r="223" spans="1:13" x14ac:dyDescent="0.25">
      <c r="A223">
        <v>222</v>
      </c>
      <c r="B223" t="s">
        <v>326</v>
      </c>
      <c r="C223" s="32">
        <v>558</v>
      </c>
      <c r="D223" t="s">
        <v>299</v>
      </c>
      <c r="E223" t="s">
        <v>32</v>
      </c>
      <c r="F223" t="s">
        <v>33</v>
      </c>
      <c r="G223" t="s">
        <v>34</v>
      </c>
      <c r="H223" t="b">
        <v>1</v>
      </c>
      <c r="I223" t="b">
        <v>0</v>
      </c>
      <c r="J223" s="32">
        <v>85</v>
      </c>
      <c r="K223" t="b">
        <v>1</v>
      </c>
      <c r="L223" t="s">
        <v>35</v>
      </c>
      <c r="M223" t="s">
        <v>297</v>
      </c>
    </row>
    <row r="224" spans="1:13" x14ac:dyDescent="0.25">
      <c r="A224">
        <v>223</v>
      </c>
      <c r="B224" t="s">
        <v>327</v>
      </c>
      <c r="C224" s="32">
        <v>563</v>
      </c>
      <c r="D224" t="s">
        <v>301</v>
      </c>
      <c r="E224" t="s">
        <v>32</v>
      </c>
      <c r="F224" t="s">
        <v>33</v>
      </c>
      <c r="G224" t="s">
        <v>34</v>
      </c>
      <c r="H224" t="b">
        <v>1</v>
      </c>
      <c r="I224" t="b">
        <v>0</v>
      </c>
      <c r="J224" s="32">
        <v>85</v>
      </c>
      <c r="K224" t="b">
        <v>1</v>
      </c>
      <c r="L224" t="s">
        <v>35</v>
      </c>
      <c r="M224" t="s">
        <v>297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24"/>
  <sheetViews>
    <sheetView zoomScaleNormal="100" workbookViewId="0">
      <selection activeCell="A24" sqref="A24"/>
    </sheetView>
  </sheetViews>
  <sheetFormatPr defaultColWidth="9.140625" defaultRowHeight="15" x14ac:dyDescent="0.25"/>
  <cols>
    <col min="1" max="1" width="13" style="126" customWidth="1"/>
    <col min="2" max="2" width="18.85546875" style="126" customWidth="1"/>
    <col min="3" max="3" width="25.140625" style="126" customWidth="1"/>
    <col min="4" max="16384" width="9.140625" style="126"/>
  </cols>
  <sheetData>
    <row r="1" spans="1:3" s="125" customFormat="1" ht="23.25" x14ac:dyDescent="0.35">
      <c r="A1" s="125" t="s">
        <v>357</v>
      </c>
      <c r="B1" s="125" t="s">
        <v>358</v>
      </c>
      <c r="C1" s="125" t="s">
        <v>359</v>
      </c>
    </row>
    <row r="2" spans="1:3" s="125" customFormat="1" ht="23.25" x14ac:dyDescent="0.35">
      <c r="A2" s="125" t="s">
        <v>360</v>
      </c>
    </row>
    <row r="3" spans="1:3" x14ac:dyDescent="0.25">
      <c r="A3" s="124">
        <v>2</v>
      </c>
      <c r="B3" s="126" t="s">
        <v>361</v>
      </c>
      <c r="C3" t="s">
        <v>362</v>
      </c>
    </row>
    <row r="4" spans="1:3" x14ac:dyDescent="0.25">
      <c r="A4" s="124">
        <v>3</v>
      </c>
      <c r="B4" s="126" t="s">
        <v>355</v>
      </c>
      <c r="C4" t="s">
        <v>362</v>
      </c>
    </row>
    <row r="5" spans="1:3" x14ac:dyDescent="0.25">
      <c r="A5" s="124">
        <v>4</v>
      </c>
      <c r="B5" s="126" t="s">
        <v>363</v>
      </c>
      <c r="C5" t="s">
        <v>362</v>
      </c>
    </row>
    <row r="6" spans="1:3" x14ac:dyDescent="0.25">
      <c r="A6" s="124">
        <v>5</v>
      </c>
      <c r="B6" s="126" t="s">
        <v>364</v>
      </c>
      <c r="C6" t="s">
        <v>362</v>
      </c>
    </row>
    <row r="7" spans="1:3" x14ac:dyDescent="0.25">
      <c r="A7" s="124">
        <v>6</v>
      </c>
      <c r="B7" s="126" t="s">
        <v>365</v>
      </c>
      <c r="C7" t="s">
        <v>362</v>
      </c>
    </row>
    <row r="8" spans="1:3" x14ac:dyDescent="0.25">
      <c r="A8" s="124">
        <v>7</v>
      </c>
      <c r="B8" s="126" t="s">
        <v>366</v>
      </c>
      <c r="C8" t="s">
        <v>362</v>
      </c>
    </row>
    <row r="10" spans="1:3" s="125" customFormat="1" ht="23.25" x14ac:dyDescent="0.35">
      <c r="A10" s="125" t="s">
        <v>367</v>
      </c>
    </row>
    <row r="11" spans="1:3" x14ac:dyDescent="0.25">
      <c r="A11" s="124">
        <v>15</v>
      </c>
      <c r="B11" s="126" t="s">
        <v>361</v>
      </c>
      <c r="C11" s="126" t="s">
        <v>362</v>
      </c>
    </row>
    <row r="12" spans="1:3" x14ac:dyDescent="0.25">
      <c r="A12" s="124">
        <v>16</v>
      </c>
      <c r="B12" s="126" t="s">
        <v>355</v>
      </c>
      <c r="C12" s="126" t="s">
        <v>362</v>
      </c>
    </row>
    <row r="13" spans="1:3" x14ac:dyDescent="0.25">
      <c r="A13" s="124">
        <v>17</v>
      </c>
      <c r="B13" s="126" t="s">
        <v>363</v>
      </c>
      <c r="C13" s="126" t="s">
        <v>362</v>
      </c>
    </row>
    <row r="14" spans="1:3" x14ac:dyDescent="0.25">
      <c r="A14" s="124">
        <v>18</v>
      </c>
      <c r="B14" s="126" t="s">
        <v>364</v>
      </c>
      <c r="C14" s="126" t="s">
        <v>362</v>
      </c>
    </row>
    <row r="15" spans="1:3" x14ac:dyDescent="0.25">
      <c r="A15" s="124">
        <v>19</v>
      </c>
      <c r="B15" s="126" t="s">
        <v>365</v>
      </c>
      <c r="C15" s="126" t="s">
        <v>362</v>
      </c>
    </row>
    <row r="16" spans="1:3" x14ac:dyDescent="0.25">
      <c r="A16" s="124">
        <v>20</v>
      </c>
      <c r="B16" s="126" t="s">
        <v>366</v>
      </c>
      <c r="C16" s="126" t="s">
        <v>362</v>
      </c>
    </row>
    <row r="18" spans="1:3" s="125" customFormat="1" ht="23.25" x14ac:dyDescent="0.35">
      <c r="A18" s="125" t="s">
        <v>368</v>
      </c>
    </row>
    <row r="19" spans="1:3" x14ac:dyDescent="0.25">
      <c r="A19" s="124">
        <v>32</v>
      </c>
      <c r="B19" s="126" t="s">
        <v>361</v>
      </c>
      <c r="C19" s="126" t="s">
        <v>356</v>
      </c>
    </row>
    <row r="20" spans="1:3" x14ac:dyDescent="0.25">
      <c r="A20" s="124">
        <v>33</v>
      </c>
      <c r="B20" s="126" t="s">
        <v>355</v>
      </c>
      <c r="C20" s="126" t="s">
        <v>356</v>
      </c>
    </row>
    <row r="21" spans="1:3" x14ac:dyDescent="0.25">
      <c r="A21" s="124">
        <v>34</v>
      </c>
      <c r="B21" s="126" t="s">
        <v>363</v>
      </c>
      <c r="C21" s="126" t="s">
        <v>356</v>
      </c>
    </row>
    <row r="22" spans="1:3" x14ac:dyDescent="0.25">
      <c r="A22" s="124">
        <v>35</v>
      </c>
      <c r="B22" s="126" t="s">
        <v>364</v>
      </c>
      <c r="C22" s="126" t="s">
        <v>356</v>
      </c>
    </row>
    <row r="23" spans="1:3" x14ac:dyDescent="0.25">
      <c r="A23" s="124">
        <v>36</v>
      </c>
      <c r="B23" s="126" t="s">
        <v>365</v>
      </c>
      <c r="C23" s="126" t="s">
        <v>356</v>
      </c>
    </row>
    <row r="24" spans="1:3" x14ac:dyDescent="0.25">
      <c r="A24" s="124">
        <v>37</v>
      </c>
      <c r="B24" s="126" t="s">
        <v>366</v>
      </c>
      <c r="C24" s="126" t="s">
        <v>356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Rental</vt:lpstr>
      <vt:lpstr>_HYPER_LKP_NEW_</vt:lpstr>
      <vt:lpstr>NOTES</vt:lpstr>
      <vt:lpstr>LOOKUPS</vt:lpstr>
      <vt:lpstr>_HYPER_LKP_</vt:lpstr>
      <vt:lpstr>Rental (2)</vt:lpstr>
      <vt:lpstr>Rental!Print_Area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Mortgage Guaranty Insurance Corporation (MGIC)</dc:creator>
  <cp:lastModifiedBy>Lisa Curry</cp:lastModifiedBy>
  <cp:lastPrinted>2019-02-11T09:22:45Z</cp:lastPrinted>
  <dcterms:created xsi:type="dcterms:W3CDTF">2018-10-01T05:44:54Z</dcterms:created>
  <dcterms:modified xsi:type="dcterms:W3CDTF">2022-02-28T21:37:08Z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