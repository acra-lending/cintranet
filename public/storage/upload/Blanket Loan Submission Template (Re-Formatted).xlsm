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rrencet\Documents\Fix &amp; Flip\Sales Information\Pre-Approvals\"/>
    </mc:Choice>
  </mc:AlternateContent>
  <xr:revisionPtr revIDLastSave="0" documentId="13_ncr:1_{774DAD01-39B6-4FBE-869E-E4164ED0F996}" xr6:coauthVersionLast="47" xr6:coauthVersionMax="47" xr10:uidLastSave="{00000000-0000-0000-0000-000000000000}"/>
  <bookViews>
    <workbookView xWindow="28680" yWindow="-270" windowWidth="29040" windowHeight="15840" xr2:uid="{0B5BA142-E7A8-424E-8D9B-BEFD938F47D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2" i="1" l="1"/>
  <c r="R12" i="1"/>
  <c r="J12" i="1"/>
  <c r="E7" i="1"/>
  <c r="K24" i="1"/>
  <c r="P24" i="1"/>
  <c r="I24" i="1"/>
  <c r="J24" i="1"/>
  <c r="L24" i="1"/>
  <c r="O24" i="1"/>
  <c r="N24" i="1"/>
  <c r="M14" i="1"/>
  <c r="Q14" i="1" s="1"/>
  <c r="M15" i="1"/>
  <c r="Q15" i="1" s="1"/>
  <c r="M16" i="1"/>
  <c r="Q16" i="1" s="1"/>
  <c r="M17" i="1"/>
  <c r="Q17" i="1" s="1"/>
  <c r="M18" i="1"/>
  <c r="Q18" i="1" s="1"/>
  <c r="M19" i="1"/>
  <c r="Q19" i="1" s="1"/>
  <c r="M20" i="1"/>
  <c r="Q20" i="1" s="1"/>
  <c r="M21" i="1"/>
  <c r="Q21" i="1" s="1"/>
  <c r="M22" i="1"/>
  <c r="Q22" i="1" s="1"/>
  <c r="M23" i="1"/>
  <c r="Q23" i="1" s="1"/>
  <c r="M13" i="1"/>
  <c r="Q13" i="1" l="1"/>
  <c r="Q24" i="1" s="1"/>
  <c r="M24" i="1"/>
  <c r="C7" i="1" l="1"/>
</calcChain>
</file>

<file path=xl/sharedStrings.xml><?xml version="1.0" encoding="utf-8"?>
<sst xmlns="http://schemas.openxmlformats.org/spreadsheetml/2006/main" count="26" uniqueCount="26">
  <si>
    <t>Borrower name</t>
  </si>
  <si>
    <t>FICO</t>
  </si>
  <si>
    <t>Additional Comments</t>
  </si>
  <si>
    <t>Requested 
LTV</t>
  </si>
  <si>
    <t>Base Rate</t>
  </si>
  <si>
    <t>DSCR</t>
  </si>
  <si>
    <t>Blanket Loan</t>
  </si>
  <si>
    <t>Final Rate</t>
  </si>
  <si>
    <t>Rate Calculations:</t>
  </si>
  <si>
    <t>Totals:</t>
  </si>
  <si>
    <t>As-Is-Value</t>
  </si>
  <si>
    <t># of Units</t>
  </si>
  <si>
    <t>Property Street</t>
  </si>
  <si>
    <t>City</t>
  </si>
  <si>
    <t>State</t>
  </si>
  <si>
    <t>Zip Code</t>
  </si>
  <si>
    <t>Transaction Type</t>
  </si>
  <si>
    <t>Processing Fee</t>
  </si>
  <si>
    <t>Requested Loan Amount</t>
  </si>
  <si>
    <t>Purchase Date</t>
  </si>
  <si>
    <t>Professionally
Managed</t>
  </si>
  <si>
    <t>Requested
Loan
Amount</t>
  </si>
  <si>
    <t>Annual
Rent</t>
  </si>
  <si>
    <t>Annual
Taxes</t>
  </si>
  <si>
    <t>Annual
Insurance</t>
  </si>
  <si>
    <t>Origination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</si>
</sst>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164" formatCode="&quot;$&quot;#,##0"/>
    <numFmt numFmtId="165" formatCode="0.000%"/>
    <numFmt numFmtId="166" formatCode="0.00\x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65" fontId="0" fillId="0" borderId="5" xfId="0" applyNumberFormat="1" applyBorder="1"/>
    <xf numFmtId="0" fontId="1" fillId="2" borderId="2" xfId="0" applyFont="1" applyFill="1" applyBorder="1" applyAlignment="1">
      <alignment horizontal="center" wrapText="1"/>
    </xf>
    <xf numFmtId="0" fontId="0" fillId="4" borderId="5" xfId="0" applyFill="1" applyBorder="1"/>
    <xf numFmtId="0" fontId="0" fillId="4" borderId="6" xfId="0" applyFill="1" applyBorder="1"/>
    <xf numFmtId="0" fontId="0" fillId="0" borderId="0" xfId="0" applyFill="1"/>
    <xf numFmtId="164" fontId="0" fillId="0" borderId="10" xfId="0" applyNumberFormat="1" applyBorder="1" applyProtection="1">
      <protection hidden="1"/>
    </xf>
    <xf numFmtId="164" fontId="0" fillId="3" borderId="10" xfId="0" applyNumberFormat="1" applyFill="1" applyBorder="1" applyProtection="1">
      <protection hidden="1"/>
    </xf>
    <xf numFmtId="166" fontId="0" fillId="3" borderId="10" xfId="0" applyNumberFormat="1" applyFill="1" applyBorder="1" applyProtection="1">
      <protection hidden="1"/>
    </xf>
    <xf numFmtId="166" fontId="0" fillId="0" borderId="10" xfId="0" applyNumberFormat="1" applyFill="1" applyBorder="1" applyProtection="1">
      <protection hidden="1"/>
    </xf>
    <xf numFmtId="0" fontId="0" fillId="5" borderId="0" xfId="0" applyFill="1"/>
    <xf numFmtId="9" fontId="0" fillId="5" borderId="0" xfId="0" applyNumberFormat="1" applyFill="1"/>
    <xf numFmtId="4" fontId="0" fillId="5" borderId="0" xfId="0" applyNumberFormat="1" applyFill="1"/>
    <xf numFmtId="8" fontId="0" fillId="5" borderId="0" xfId="0" applyNumberFormat="1" applyFill="1"/>
    <xf numFmtId="165" fontId="0" fillId="0" borderId="5" xfId="0" applyNumberFormat="1" applyBorder="1" applyProtection="1">
      <protection hidden="1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right" vertical="center" wrapText="1"/>
    </xf>
    <xf numFmtId="0" fontId="0" fillId="5" borderId="0" xfId="0" applyFill="1" applyProtection="1">
      <protection hidden="1"/>
    </xf>
    <xf numFmtId="165" fontId="0" fillId="5" borderId="0" xfId="0" applyNumberFormat="1" applyFill="1" applyProtection="1">
      <protection hidden="1"/>
    </xf>
    <xf numFmtId="0" fontId="0" fillId="0" borderId="5" xfId="0" applyBorder="1" applyProtection="1">
      <protection locked="0"/>
    </xf>
    <xf numFmtId="165" fontId="0" fillId="0" borderId="5" xfId="0" applyNumberFormat="1" applyBorder="1" applyProtection="1">
      <protection locked="0"/>
    </xf>
    <xf numFmtId="165" fontId="0" fillId="0" borderId="6" xfId="0" applyNumberFormat="1" applyBorder="1" applyProtection="1">
      <protection locked="0"/>
    </xf>
    <xf numFmtId="0" fontId="0" fillId="0" borderId="9" xfId="0" applyBorder="1" applyAlignment="1" applyProtection="1">
      <alignment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0" fillId="0" borderId="9" xfId="0" applyFill="1" applyBorder="1" applyAlignment="1" applyProtection="1">
      <alignment wrapText="1"/>
      <protection locked="0"/>
    </xf>
    <xf numFmtId="0" fontId="0" fillId="3" borderId="12" xfId="0" applyFill="1" applyBorder="1" applyAlignment="1" applyProtection="1">
      <alignment wrapText="1"/>
      <protection locked="0"/>
    </xf>
    <xf numFmtId="0" fontId="0" fillId="0" borderId="12" xfId="0" applyBorder="1" applyAlignment="1" applyProtection="1">
      <alignment wrapText="1"/>
      <protection locked="0"/>
    </xf>
    <xf numFmtId="0" fontId="0" fillId="0" borderId="17" xfId="0" applyBorder="1" applyAlignment="1" applyProtection="1">
      <alignment wrapText="1"/>
      <protection locked="0"/>
    </xf>
    <xf numFmtId="0" fontId="0" fillId="3" borderId="17" xfId="0" applyFill="1" applyBorder="1" applyAlignment="1" applyProtection="1">
      <alignment wrapText="1"/>
      <protection locked="0"/>
    </xf>
    <xf numFmtId="0" fontId="0" fillId="0" borderId="17" xfId="0" applyFill="1" applyBorder="1" applyAlignment="1" applyProtection="1">
      <alignment wrapText="1"/>
      <protection locked="0"/>
    </xf>
    <xf numFmtId="0" fontId="0" fillId="3" borderId="18" xfId="0" applyFill="1" applyBorder="1" applyAlignment="1" applyProtection="1">
      <alignment wrapText="1"/>
      <protection locked="0"/>
    </xf>
    <xf numFmtId="0" fontId="0" fillId="0" borderId="18" xfId="0" applyBorder="1" applyAlignment="1" applyProtection="1">
      <alignment wrapText="1"/>
      <protection locked="0"/>
    </xf>
    <xf numFmtId="0" fontId="0" fillId="0" borderId="10" xfId="0" applyBorder="1" applyAlignment="1" applyProtection="1">
      <alignment wrapText="1"/>
      <protection locked="0"/>
    </xf>
    <xf numFmtId="0" fontId="0" fillId="3" borderId="10" xfId="0" applyFill="1" applyBorder="1" applyAlignment="1" applyProtection="1">
      <alignment wrapText="1"/>
      <protection locked="0"/>
    </xf>
    <xf numFmtId="0" fontId="0" fillId="0" borderId="10" xfId="0" applyFill="1" applyBorder="1" applyAlignment="1" applyProtection="1">
      <alignment wrapText="1"/>
      <protection locked="0"/>
    </xf>
    <xf numFmtId="0" fontId="0" fillId="3" borderId="13" xfId="0" applyFill="1" applyBorder="1" applyAlignment="1" applyProtection="1">
      <alignment wrapText="1"/>
      <protection locked="0"/>
    </xf>
    <xf numFmtId="0" fontId="0" fillId="0" borderId="13" xfId="0" applyBorder="1" applyAlignment="1" applyProtection="1">
      <alignment wrapText="1"/>
      <protection locked="0"/>
    </xf>
    <xf numFmtId="164" fontId="0" fillId="0" borderId="10" xfId="0" applyNumberFormat="1" applyBorder="1" applyProtection="1">
      <protection locked="0"/>
    </xf>
    <xf numFmtId="164" fontId="0" fillId="3" borderId="10" xfId="0" applyNumberFormat="1" applyFill="1" applyBorder="1" applyProtection="1">
      <protection locked="0"/>
    </xf>
    <xf numFmtId="164" fontId="0" fillId="0" borderId="10" xfId="0" applyNumberFormat="1" applyFill="1" applyBorder="1" applyProtection="1">
      <protection locked="0"/>
    </xf>
    <xf numFmtId="164" fontId="0" fillId="3" borderId="13" xfId="0" applyNumberFormat="1" applyFill="1" applyBorder="1" applyProtection="1">
      <protection locked="0"/>
    </xf>
    <xf numFmtId="164" fontId="0" fillId="0" borderId="13" xfId="0" applyNumberFormat="1" applyBorder="1" applyProtection="1">
      <protection locked="0"/>
    </xf>
    <xf numFmtId="9" fontId="0" fillId="0" borderId="10" xfId="0" applyNumberFormat="1" applyBorder="1" applyProtection="1">
      <protection locked="0"/>
    </xf>
    <xf numFmtId="9" fontId="0" fillId="3" borderId="10" xfId="0" applyNumberFormat="1" applyFill="1" applyBorder="1" applyProtection="1">
      <protection locked="0"/>
    </xf>
    <xf numFmtId="9" fontId="0" fillId="0" borderId="10" xfId="0" applyNumberFormat="1" applyFill="1" applyBorder="1" applyProtection="1">
      <protection locked="0"/>
    </xf>
    <xf numFmtId="9" fontId="0" fillId="3" borderId="13" xfId="0" applyNumberFormat="1" applyFill="1" applyBorder="1" applyProtection="1">
      <protection locked="0"/>
    </xf>
    <xf numFmtId="9" fontId="0" fillId="0" borderId="13" xfId="0" applyNumberFormat="1" applyBorder="1" applyProtection="1">
      <protection locked="0"/>
    </xf>
    <xf numFmtId="0" fontId="0" fillId="0" borderId="10" xfId="0" applyBorder="1" applyProtection="1">
      <protection locked="0"/>
    </xf>
    <xf numFmtId="0" fontId="0" fillId="3" borderId="10" xfId="0" applyFill="1" applyBorder="1" applyProtection="1">
      <protection locked="0"/>
    </xf>
    <xf numFmtId="0" fontId="0" fillId="0" borderId="10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1" xfId="0" applyBorder="1" applyAlignment="1" applyProtection="1">
      <alignment wrapText="1"/>
      <protection locked="0"/>
    </xf>
    <xf numFmtId="0" fontId="0" fillId="3" borderId="11" xfId="0" applyFill="1" applyBorder="1" applyAlignment="1" applyProtection="1">
      <alignment wrapText="1"/>
      <protection locked="0"/>
    </xf>
    <xf numFmtId="0" fontId="0" fillId="0" borderId="11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wrapText="1"/>
      <protection locked="0"/>
    </xf>
    <xf numFmtId="0" fontId="0" fillId="0" borderId="14" xfId="0" applyBorder="1" applyAlignment="1" applyProtection="1">
      <alignment wrapText="1"/>
      <protection locked="0"/>
    </xf>
    <xf numFmtId="0" fontId="0" fillId="4" borderId="4" xfId="0" applyFill="1" applyBorder="1"/>
    <xf numFmtId="0" fontId="1" fillId="2" borderId="2" xfId="0" applyFont="1" applyFill="1" applyBorder="1" applyAlignment="1">
      <alignment horizontal="center"/>
    </xf>
    <xf numFmtId="10" fontId="0" fillId="0" borderId="5" xfId="0" applyNumberFormat="1" applyBorder="1" applyProtection="1">
      <protection locked="0"/>
    </xf>
    <xf numFmtId="0" fontId="1" fillId="2" borderId="2" xfId="0" applyFont="1" applyFill="1" applyBorder="1"/>
    <xf numFmtId="0" fontId="1" fillId="5" borderId="0" xfId="0" applyFont="1" applyFill="1" applyBorder="1" applyAlignment="1">
      <alignment horizontal="center"/>
    </xf>
    <xf numFmtId="165" fontId="0" fillId="5" borderId="0" xfId="0" applyNumberFormat="1" applyFill="1" applyBorder="1" applyProtection="1">
      <protection hidden="1"/>
    </xf>
    <xf numFmtId="0" fontId="1" fillId="2" borderId="3" xfId="0" applyFont="1" applyFill="1" applyBorder="1"/>
    <xf numFmtId="165" fontId="0" fillId="0" borderId="16" xfId="0" applyNumberFormat="1" applyBorder="1" applyProtection="1">
      <protection locked="0"/>
    </xf>
    <xf numFmtId="164" fontId="0" fillId="0" borderId="10" xfId="0" applyNumberFormat="1" applyFill="1" applyBorder="1" applyProtection="1">
      <protection hidden="1"/>
    </xf>
    <xf numFmtId="164" fontId="1" fillId="2" borderId="5" xfId="0" applyNumberFormat="1" applyFont="1" applyFill="1" applyBorder="1" applyProtection="1">
      <protection hidden="1"/>
    </xf>
    <xf numFmtId="9" fontId="1" fillId="2" borderId="5" xfId="0" applyNumberFormat="1" applyFont="1" applyFill="1" applyBorder="1" applyProtection="1">
      <protection hidden="1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164" fontId="0" fillId="0" borderId="6" xfId="0" applyNumberFormat="1" applyBorder="1" applyAlignment="1" applyProtection="1">
      <alignment horizontal="center"/>
      <protection locked="0"/>
    </xf>
    <xf numFmtId="0" fontId="1" fillId="2" borderId="1" xfId="0" applyFont="1" applyFill="1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164" fontId="0" fillId="0" borderId="4" xfId="0" applyNumberFormat="1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166" fontId="1" fillId="2" borderId="16" xfId="0" applyNumberFormat="1" applyFont="1" applyFill="1" applyBorder="1" applyAlignment="1" applyProtection="1">
      <alignment horizontal="right" vertical="center" wrapText="1"/>
      <protection hidden="1"/>
    </xf>
  </cellXfs>
  <cellStyles count="1">
    <cellStyle name="Normal" xfId="0" builtinId="0"/>
  </cellStyles>
  <dxfs count="2"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40968</xdr:colOff>
      <xdr:row>3</xdr:row>
      <xdr:rowOff>81936</xdr:rowOff>
    </xdr:from>
    <xdr:to>
      <xdr:col>19</xdr:col>
      <xdr:colOff>1291672</xdr:colOff>
      <xdr:row>6</xdr:row>
      <xdr:rowOff>167681</xdr:rowOff>
    </xdr:to>
    <xdr:sp macro="[0]!ClearBlanket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E65871B-23DE-4985-BFCB-CE76D7FC847A}"/>
            </a:ext>
          </a:extLst>
        </xdr:cNvPr>
        <xdr:cNvSpPr/>
      </xdr:nvSpPr>
      <xdr:spPr>
        <a:xfrm>
          <a:off x="14103145" y="645242"/>
          <a:ext cx="2162237" cy="659294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CLEAR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BCC2-DADF-449F-AF2C-553E564B986D}">
  <sheetPr codeName="Sheet1"/>
  <dimension ref="A1:AA43"/>
  <sheetViews>
    <sheetView tabSelected="1" zoomScale="93" zoomScaleNormal="145" workbookViewId="0">
      <selection activeCell="K6" sqref="K6"/>
    </sheetView>
  </sheetViews>
  <sheetFormatPr defaultRowHeight="14.4" x14ac:dyDescent="0.3"/>
  <cols>
    <col min="1" max="2" width="3.109375" customWidth="1"/>
    <col min="3" max="3" width="21.88671875" customWidth="1"/>
    <col min="4" max="4" width="14.77734375" customWidth="1"/>
    <col min="5" max="5" width="12.6640625" bestFit="1" customWidth="1"/>
    <col min="6" max="6" width="12.77734375" bestFit="1" customWidth="1"/>
    <col min="7" max="7" width="10.44140625" bestFit="1" customWidth="1"/>
    <col min="8" max="8" width="13.88671875" bestFit="1" customWidth="1"/>
    <col min="9" max="9" width="15.5546875" customWidth="1"/>
    <col min="10" max="10" width="10.21875" bestFit="1" customWidth="1"/>
    <col min="11" max="11" width="10.5546875" bestFit="1" customWidth="1"/>
    <col min="12" max="12" width="10.33203125" bestFit="1" customWidth="1"/>
    <col min="13" max="13" width="13" customWidth="1"/>
    <col min="14" max="16" width="10.21875" customWidth="1"/>
    <col min="17" max="17" width="8.77734375" bestFit="1" customWidth="1"/>
    <col min="18" max="18" width="13.33203125" customWidth="1"/>
    <col min="19" max="19" width="13.33203125" bestFit="1" customWidth="1"/>
    <col min="20" max="20" width="26.77734375" customWidth="1"/>
    <col min="21" max="21" width="14.88671875" bestFit="1" customWidth="1"/>
    <col min="22" max="22" width="20" bestFit="1" customWidth="1"/>
  </cols>
  <sheetData>
    <row r="1" spans="1:27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7" ht="15" thickBot="1" x14ac:dyDescent="0.3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7" x14ac:dyDescent="0.3">
      <c r="A3" s="20"/>
      <c r="B3" s="20"/>
      <c r="C3" s="75" t="s">
        <v>0</v>
      </c>
      <c r="D3" s="71"/>
      <c r="E3" s="71"/>
      <c r="F3" s="2" t="s">
        <v>1</v>
      </c>
      <c r="G3" s="71" t="s">
        <v>16</v>
      </c>
      <c r="H3" s="72"/>
      <c r="I3" s="13"/>
      <c r="J3" s="13"/>
      <c r="K3" s="13"/>
      <c r="L3" s="20"/>
      <c r="M3" s="20"/>
      <c r="N3" s="20"/>
      <c r="O3" s="20"/>
      <c r="P3" s="20"/>
      <c r="Q3" s="20"/>
      <c r="R3" s="20"/>
      <c r="S3" s="20"/>
      <c r="T3" s="13"/>
      <c r="U3" s="20"/>
      <c r="V3" s="13"/>
      <c r="W3" s="13"/>
      <c r="X3" s="13"/>
      <c r="Y3" s="13"/>
      <c r="Z3" s="13"/>
      <c r="AA3" s="13"/>
    </row>
    <row r="4" spans="1:27" ht="15" thickBot="1" x14ac:dyDescent="0.35">
      <c r="A4" s="20"/>
      <c r="B4" s="20"/>
      <c r="C4" s="76"/>
      <c r="D4" s="77"/>
      <c r="E4" s="77"/>
      <c r="F4" s="22"/>
      <c r="G4" s="80"/>
      <c r="H4" s="81"/>
      <c r="I4" s="13"/>
      <c r="J4" s="13"/>
      <c r="K4" s="13"/>
      <c r="L4" s="20"/>
      <c r="M4" s="20"/>
      <c r="N4" s="20"/>
      <c r="O4" s="20"/>
      <c r="P4" s="20"/>
      <c r="Q4" s="20"/>
      <c r="R4" s="21"/>
      <c r="S4" s="20"/>
      <c r="T4" s="13"/>
      <c r="U4" s="20"/>
      <c r="V4" s="13"/>
      <c r="W4" s="13"/>
      <c r="X4" s="13"/>
      <c r="Y4" s="13"/>
      <c r="Z4" s="13"/>
      <c r="AA4" s="13"/>
    </row>
    <row r="5" spans="1:27" ht="15" thickBot="1" x14ac:dyDescent="0.35">
      <c r="A5" s="20"/>
      <c r="B5" s="20"/>
      <c r="C5" s="20"/>
      <c r="D5" s="20"/>
      <c r="E5" s="20"/>
      <c r="F5" s="20"/>
      <c r="G5" s="20"/>
      <c r="H5" s="20"/>
      <c r="I5" s="21"/>
      <c r="J5" s="20"/>
      <c r="K5" s="20"/>
      <c r="L5" s="20"/>
      <c r="M5" s="20"/>
      <c r="N5" s="20"/>
      <c r="O5" s="20"/>
      <c r="P5" s="20"/>
      <c r="Q5" s="20"/>
      <c r="R5" s="21"/>
      <c r="S5" s="20"/>
      <c r="T5" s="13"/>
      <c r="U5" s="20"/>
      <c r="V5" s="13"/>
      <c r="W5" s="13"/>
      <c r="X5" s="13"/>
      <c r="Y5" s="13"/>
      <c r="Z5" s="13"/>
      <c r="AA5" s="13"/>
    </row>
    <row r="6" spans="1:27" x14ac:dyDescent="0.3">
      <c r="A6" s="20"/>
      <c r="B6" s="20"/>
      <c r="C6" s="75" t="s">
        <v>18</v>
      </c>
      <c r="D6" s="71"/>
      <c r="E6" s="2" t="s">
        <v>7</v>
      </c>
      <c r="F6" s="2" t="s">
        <v>25</v>
      </c>
      <c r="G6" s="71" t="s">
        <v>17</v>
      </c>
      <c r="H6" s="72"/>
      <c r="I6" s="64"/>
      <c r="J6" s="20"/>
      <c r="K6" s="20"/>
      <c r="L6" s="20"/>
      <c r="M6" s="20"/>
      <c r="N6" s="20"/>
      <c r="O6" s="20"/>
      <c r="P6" s="20"/>
      <c r="Q6" s="20"/>
      <c r="R6" s="21"/>
      <c r="S6" s="20"/>
      <c r="T6" s="13"/>
      <c r="U6" s="20"/>
      <c r="V6" s="13"/>
      <c r="W6" s="13"/>
      <c r="X6" s="13"/>
      <c r="Y6" s="13"/>
      <c r="Z6" s="13"/>
      <c r="AA6" s="13"/>
    </row>
    <row r="7" spans="1:27" ht="15" thickBot="1" x14ac:dyDescent="0.35">
      <c r="A7" s="20"/>
      <c r="B7" s="20"/>
      <c r="C7" s="82">
        <f>L24</f>
        <v>0</v>
      </c>
      <c r="D7" s="83"/>
      <c r="E7" s="17">
        <f>D10+E10+F10+G10+H10+I10+J10</f>
        <v>0</v>
      </c>
      <c r="F7" s="62"/>
      <c r="G7" s="73"/>
      <c r="H7" s="74"/>
      <c r="I7" s="65"/>
      <c r="J7" s="13"/>
      <c r="K7" s="13"/>
      <c r="L7" s="13"/>
      <c r="M7" s="13"/>
      <c r="N7" s="20"/>
      <c r="O7" s="20"/>
      <c r="P7" s="20"/>
      <c r="Q7" s="20"/>
      <c r="R7" s="21"/>
      <c r="S7" s="20"/>
      <c r="T7" s="13"/>
      <c r="U7" s="20"/>
      <c r="V7" s="13"/>
      <c r="W7" s="13"/>
      <c r="X7" s="13"/>
      <c r="Y7" s="13"/>
      <c r="Z7" s="13"/>
      <c r="AA7" s="13"/>
    </row>
    <row r="8" spans="1:27" ht="15" thickBot="1" x14ac:dyDescent="0.35">
      <c r="A8" s="20"/>
      <c r="B8" s="20"/>
      <c r="C8" s="13"/>
      <c r="D8" s="13"/>
      <c r="E8" s="13"/>
      <c r="F8" s="13"/>
      <c r="G8" s="13"/>
      <c r="H8" s="13"/>
      <c r="I8" s="20"/>
      <c r="J8" s="20"/>
      <c r="K8" s="20"/>
      <c r="L8" s="20"/>
      <c r="M8" s="20"/>
      <c r="N8" s="20"/>
      <c r="O8" s="20"/>
      <c r="P8" s="20"/>
      <c r="Q8" s="13"/>
      <c r="R8" s="21"/>
      <c r="S8" s="20"/>
      <c r="T8" s="20"/>
      <c r="U8" s="20"/>
      <c r="V8" s="13"/>
      <c r="W8" s="13"/>
      <c r="X8" s="13"/>
      <c r="Y8" s="13"/>
      <c r="Z8" s="13"/>
      <c r="AA8" s="13"/>
    </row>
    <row r="9" spans="1:27" x14ac:dyDescent="0.3">
      <c r="A9" s="20"/>
      <c r="B9" s="20"/>
      <c r="C9" s="78" t="s">
        <v>8</v>
      </c>
      <c r="D9" s="2" t="s">
        <v>4</v>
      </c>
      <c r="E9" s="2" t="s">
        <v>6</v>
      </c>
      <c r="F9" s="61"/>
      <c r="G9" s="2"/>
      <c r="H9" s="63"/>
      <c r="I9" s="18"/>
      <c r="J9" s="66"/>
      <c r="K9" s="20"/>
      <c r="L9" s="20"/>
      <c r="M9" s="20"/>
      <c r="N9" s="20"/>
      <c r="O9" s="20"/>
      <c r="P9" s="20"/>
      <c r="Q9" s="13"/>
      <c r="R9" s="21"/>
      <c r="S9" s="20"/>
      <c r="T9" s="20"/>
      <c r="U9" s="20"/>
      <c r="V9" s="13"/>
      <c r="W9" s="13"/>
      <c r="X9" s="13"/>
      <c r="Y9" s="13"/>
      <c r="Z9" s="13"/>
      <c r="AA9" s="13"/>
    </row>
    <row r="10" spans="1:27" ht="15" thickBot="1" x14ac:dyDescent="0.35">
      <c r="A10" s="20"/>
      <c r="B10" s="20"/>
      <c r="C10" s="79"/>
      <c r="D10" s="4"/>
      <c r="E10" s="23"/>
      <c r="F10" s="23"/>
      <c r="G10" s="23"/>
      <c r="H10" s="23"/>
      <c r="I10" s="67"/>
      <c r="J10" s="24"/>
      <c r="K10" s="20"/>
      <c r="L10" s="20"/>
      <c r="M10" s="20"/>
      <c r="N10" s="20"/>
      <c r="O10" s="20"/>
      <c r="P10" s="20"/>
      <c r="Q10" s="13"/>
      <c r="R10" s="20"/>
      <c r="S10" s="20"/>
      <c r="T10" s="20"/>
      <c r="U10" s="20"/>
      <c r="V10" s="13"/>
      <c r="W10" s="13"/>
      <c r="X10" s="13"/>
      <c r="Y10" s="13"/>
      <c r="Z10" s="13"/>
      <c r="AA10" s="13"/>
    </row>
    <row r="11" spans="1:27" ht="15" thickBot="1" x14ac:dyDescent="0.35">
      <c r="A11" s="20"/>
      <c r="B11" s="20"/>
      <c r="C11" s="20"/>
      <c r="D11" s="20"/>
      <c r="E11" s="20"/>
      <c r="F11" s="20"/>
      <c r="G11" s="21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13"/>
      <c r="W11" s="13"/>
      <c r="X11" s="13"/>
      <c r="Y11" s="13"/>
      <c r="Z11" s="13"/>
      <c r="AA11" s="13"/>
    </row>
    <row r="12" spans="1:27" ht="43.2" x14ac:dyDescent="0.3">
      <c r="A12" s="20"/>
      <c r="B12" s="20"/>
      <c r="C12" s="1" t="s">
        <v>12</v>
      </c>
      <c r="D12" s="18" t="s">
        <v>13</v>
      </c>
      <c r="E12" s="18" t="s">
        <v>14</v>
      </c>
      <c r="F12" s="18" t="s">
        <v>15</v>
      </c>
      <c r="G12" s="2" t="s">
        <v>11</v>
      </c>
      <c r="H12" s="2" t="s">
        <v>19</v>
      </c>
      <c r="I12" s="5" t="s">
        <v>10</v>
      </c>
      <c r="J12" s="5" t="str">
        <f>IFERROR(_xlfn.IFS(ISNUMBER(SEARCH("Purchase",G4)),"Purchase Price",ISNUMBER(SEARCH("Refinance",G4)),"Payoff Amount"),"Info For Refi's Only")</f>
        <v>Info For Refi's Only</v>
      </c>
      <c r="K12" s="5" t="s">
        <v>3</v>
      </c>
      <c r="L12" s="5" t="str">
        <f>IFERROR(_xlfn.IFS(ISNUMBER(SEARCH("Purchase",H4)),"Info For Refi's Only",ISNUMBER(SEARCH("Refinance",H4)),"Requested Cash-Out"),"Info For Refi's Only")</f>
        <v>Info For Refi's Only</v>
      </c>
      <c r="M12" s="5" t="s">
        <v>21</v>
      </c>
      <c r="N12" s="5" t="s">
        <v>22</v>
      </c>
      <c r="O12" s="5" t="s">
        <v>23</v>
      </c>
      <c r="P12" s="5" t="s">
        <v>24</v>
      </c>
      <c r="Q12" s="5" t="s">
        <v>5</v>
      </c>
      <c r="R12" s="5" t="str">
        <f>IFERROR(_xlfn.IFS(ISNUMBER(SEARCH("Purchase",G4)),"N/A",ISNUMBER(SEARCH("Refinance",G4)),"Original Purchase Price"),"Info For Refi's Only")</f>
        <v>Info For Refi's Only</v>
      </c>
      <c r="S12" s="5" t="s">
        <v>20</v>
      </c>
      <c r="T12" s="3" t="s">
        <v>2</v>
      </c>
      <c r="U12" s="20"/>
      <c r="V12" s="13"/>
      <c r="W12" s="13"/>
      <c r="X12" s="13"/>
      <c r="Y12" s="13"/>
      <c r="Z12" s="13"/>
      <c r="AA12" s="13"/>
    </row>
    <row r="13" spans="1:27" x14ac:dyDescent="0.3">
      <c r="A13" s="20"/>
      <c r="B13" s="20"/>
      <c r="C13" s="25"/>
      <c r="D13" s="30"/>
      <c r="E13" s="30"/>
      <c r="F13" s="30"/>
      <c r="G13" s="35"/>
      <c r="H13" s="40"/>
      <c r="I13" s="40"/>
      <c r="J13" s="45"/>
      <c r="K13" s="45"/>
      <c r="L13" s="9"/>
      <c r="M13" s="9">
        <f>_xlfn.IFS(J13&lt;=I13,J13*K13+L13,I13&lt;J13,I13*K13+L13)</f>
        <v>0</v>
      </c>
      <c r="N13" s="40"/>
      <c r="O13" s="40"/>
      <c r="P13" s="9"/>
      <c r="Q13" s="12">
        <f>IFERROR(N13/((-PMT((E7),360,M13)+O13+P13)),)</f>
        <v>0</v>
      </c>
      <c r="R13" s="50"/>
      <c r="S13" s="50"/>
      <c r="T13" s="55"/>
      <c r="U13" s="20"/>
      <c r="V13" s="13"/>
      <c r="W13" s="13"/>
      <c r="X13" s="13"/>
      <c r="Y13" s="13"/>
      <c r="Z13" s="13"/>
      <c r="AA13" s="13"/>
    </row>
    <row r="14" spans="1:27" x14ac:dyDescent="0.3">
      <c r="A14" s="20"/>
      <c r="B14" s="20"/>
      <c r="C14" s="26"/>
      <c r="D14" s="31"/>
      <c r="E14" s="31"/>
      <c r="F14" s="31"/>
      <c r="G14" s="36"/>
      <c r="H14" s="41"/>
      <c r="I14" s="41"/>
      <c r="J14" s="46"/>
      <c r="K14" s="46"/>
      <c r="L14" s="10"/>
      <c r="M14" s="10">
        <f t="shared" ref="M14:M23" si="0">_xlfn.IFS(J14&lt;=I14,J14*K14+L14,I14&lt;J14,I14*K14+L14)</f>
        <v>0</v>
      </c>
      <c r="N14" s="41"/>
      <c r="O14" s="41"/>
      <c r="P14" s="10"/>
      <c r="Q14" s="11">
        <f t="shared" ref="Q14:Q23" si="1">IFERROR(N14/((-PMT((E8),360,M14)+O14+P14)),)</f>
        <v>0</v>
      </c>
      <c r="R14" s="51"/>
      <c r="S14" s="51"/>
      <c r="T14" s="56"/>
      <c r="U14" s="20"/>
      <c r="V14" s="13"/>
      <c r="W14" s="13"/>
      <c r="X14" s="13"/>
      <c r="Y14" s="13"/>
      <c r="Z14" s="13"/>
      <c r="AA14" s="13"/>
    </row>
    <row r="15" spans="1:27" x14ac:dyDescent="0.3">
      <c r="A15" s="20"/>
      <c r="B15" s="20"/>
      <c r="C15" s="27"/>
      <c r="D15" s="32"/>
      <c r="E15" s="30"/>
      <c r="F15" s="32"/>
      <c r="G15" s="37"/>
      <c r="H15" s="42"/>
      <c r="I15" s="42"/>
      <c r="J15" s="47"/>
      <c r="K15" s="47"/>
      <c r="L15" s="9"/>
      <c r="M15" s="9">
        <f t="shared" si="0"/>
        <v>0</v>
      </c>
      <c r="N15" s="42"/>
      <c r="O15" s="42"/>
      <c r="P15" s="68"/>
      <c r="Q15" s="12">
        <f t="shared" si="1"/>
        <v>0</v>
      </c>
      <c r="R15" s="52"/>
      <c r="S15" s="52"/>
      <c r="T15" s="57"/>
      <c r="U15" s="20"/>
      <c r="V15" s="13"/>
      <c r="W15" s="13"/>
      <c r="X15" s="13"/>
      <c r="Y15" s="13"/>
      <c r="Z15" s="13"/>
      <c r="AA15" s="13"/>
    </row>
    <row r="16" spans="1:27" x14ac:dyDescent="0.3">
      <c r="A16" s="20"/>
      <c r="B16" s="20"/>
      <c r="C16" s="26"/>
      <c r="D16" s="31"/>
      <c r="E16" s="31"/>
      <c r="F16" s="31"/>
      <c r="G16" s="36"/>
      <c r="H16" s="41"/>
      <c r="I16" s="41"/>
      <c r="J16" s="46"/>
      <c r="K16" s="46"/>
      <c r="L16" s="10"/>
      <c r="M16" s="10">
        <f t="shared" si="0"/>
        <v>0</v>
      </c>
      <c r="N16" s="41"/>
      <c r="O16" s="41"/>
      <c r="P16" s="10"/>
      <c r="Q16" s="11">
        <f t="shared" si="1"/>
        <v>0</v>
      </c>
      <c r="R16" s="51"/>
      <c r="S16" s="51"/>
      <c r="T16" s="56"/>
      <c r="U16" s="20"/>
      <c r="V16" s="13"/>
      <c r="W16" s="13"/>
      <c r="X16" s="13"/>
      <c r="Y16" s="13"/>
      <c r="Z16" s="13"/>
      <c r="AA16" s="13"/>
    </row>
    <row r="17" spans="1:27" s="8" customFormat="1" x14ac:dyDescent="0.3">
      <c r="A17" s="20"/>
      <c r="B17" s="20"/>
      <c r="C17" s="27"/>
      <c r="D17" s="32"/>
      <c r="E17" s="30"/>
      <c r="F17" s="32"/>
      <c r="G17" s="37"/>
      <c r="H17" s="42"/>
      <c r="I17" s="42"/>
      <c r="J17" s="47"/>
      <c r="K17" s="47"/>
      <c r="L17" s="9"/>
      <c r="M17" s="9">
        <f t="shared" si="0"/>
        <v>0</v>
      </c>
      <c r="N17" s="42"/>
      <c r="O17" s="42"/>
      <c r="P17" s="68"/>
      <c r="Q17" s="12">
        <f t="shared" si="1"/>
        <v>0</v>
      </c>
      <c r="R17" s="52"/>
      <c r="S17" s="52"/>
      <c r="T17" s="57"/>
      <c r="U17" s="20"/>
      <c r="V17" s="13"/>
      <c r="W17" s="13"/>
      <c r="X17" s="13"/>
      <c r="Y17" s="13"/>
      <c r="Z17" s="13"/>
      <c r="AA17" s="13"/>
    </row>
    <row r="18" spans="1:27" x14ac:dyDescent="0.3">
      <c r="A18" s="20"/>
      <c r="B18" s="20"/>
      <c r="C18" s="26"/>
      <c r="D18" s="31"/>
      <c r="E18" s="31"/>
      <c r="F18" s="31"/>
      <c r="G18" s="36"/>
      <c r="H18" s="41"/>
      <c r="I18" s="41"/>
      <c r="J18" s="46"/>
      <c r="K18" s="46"/>
      <c r="L18" s="10"/>
      <c r="M18" s="10">
        <f t="shared" si="0"/>
        <v>0</v>
      </c>
      <c r="N18" s="41"/>
      <c r="O18" s="41"/>
      <c r="P18" s="10"/>
      <c r="Q18" s="11">
        <f t="shared" si="1"/>
        <v>0</v>
      </c>
      <c r="R18" s="51"/>
      <c r="S18" s="51"/>
      <c r="T18" s="56"/>
      <c r="U18" s="20"/>
      <c r="V18" s="13"/>
      <c r="W18" s="13"/>
      <c r="X18" s="13"/>
      <c r="Y18" s="13"/>
      <c r="Z18" s="13"/>
      <c r="AA18" s="13"/>
    </row>
    <row r="19" spans="1:27" x14ac:dyDescent="0.3">
      <c r="A19" s="20"/>
      <c r="B19" s="20"/>
      <c r="C19" s="25"/>
      <c r="D19" s="30"/>
      <c r="E19" s="30"/>
      <c r="F19" s="30"/>
      <c r="G19" s="35"/>
      <c r="H19" s="40"/>
      <c r="I19" s="40"/>
      <c r="J19" s="45"/>
      <c r="K19" s="45"/>
      <c r="L19" s="9"/>
      <c r="M19" s="9">
        <f t="shared" si="0"/>
        <v>0</v>
      </c>
      <c r="N19" s="40"/>
      <c r="O19" s="40"/>
      <c r="P19" s="9"/>
      <c r="Q19" s="12">
        <f t="shared" si="1"/>
        <v>0</v>
      </c>
      <c r="R19" s="50"/>
      <c r="S19" s="50"/>
      <c r="T19" s="55"/>
      <c r="U19" s="20"/>
      <c r="V19" s="13"/>
      <c r="W19" s="13"/>
      <c r="X19" s="13"/>
      <c r="Y19" s="13"/>
      <c r="Z19" s="13"/>
      <c r="AA19" s="13"/>
    </row>
    <row r="20" spans="1:27" x14ac:dyDescent="0.3">
      <c r="A20" s="20"/>
      <c r="B20" s="20"/>
      <c r="C20" s="28"/>
      <c r="D20" s="33"/>
      <c r="E20" s="31"/>
      <c r="F20" s="33"/>
      <c r="G20" s="38"/>
      <c r="H20" s="43"/>
      <c r="I20" s="43"/>
      <c r="J20" s="48"/>
      <c r="K20" s="48"/>
      <c r="L20" s="10"/>
      <c r="M20" s="10">
        <f t="shared" si="0"/>
        <v>0</v>
      </c>
      <c r="N20" s="43"/>
      <c r="O20" s="43"/>
      <c r="P20" s="10"/>
      <c r="Q20" s="11">
        <f t="shared" si="1"/>
        <v>0</v>
      </c>
      <c r="R20" s="53"/>
      <c r="S20" s="53"/>
      <c r="T20" s="58"/>
      <c r="U20" s="20"/>
      <c r="V20" s="13"/>
      <c r="W20" s="13"/>
      <c r="X20" s="13"/>
      <c r="Y20" s="13"/>
      <c r="Z20" s="13"/>
      <c r="AA20" s="13"/>
    </row>
    <row r="21" spans="1:27" x14ac:dyDescent="0.3">
      <c r="A21" s="20"/>
      <c r="B21" s="20"/>
      <c r="C21" s="29"/>
      <c r="D21" s="34"/>
      <c r="E21" s="30"/>
      <c r="F21" s="34"/>
      <c r="G21" s="39"/>
      <c r="H21" s="44"/>
      <c r="I21" s="44"/>
      <c r="J21" s="49"/>
      <c r="K21" s="49"/>
      <c r="L21" s="9"/>
      <c r="M21" s="9">
        <f t="shared" si="0"/>
        <v>0</v>
      </c>
      <c r="N21" s="44"/>
      <c r="O21" s="44"/>
      <c r="P21" s="9"/>
      <c r="Q21" s="12">
        <f t="shared" si="1"/>
        <v>0</v>
      </c>
      <c r="R21" s="54"/>
      <c r="S21" s="54"/>
      <c r="T21" s="59"/>
      <c r="U21" s="20"/>
      <c r="V21" s="13"/>
      <c r="W21" s="13"/>
      <c r="X21" s="13"/>
      <c r="Y21" s="13"/>
      <c r="Z21" s="13"/>
      <c r="AA21" s="13"/>
    </row>
    <row r="22" spans="1:27" x14ac:dyDescent="0.3">
      <c r="A22" s="20"/>
      <c r="B22" s="20"/>
      <c r="C22" s="28"/>
      <c r="D22" s="33"/>
      <c r="E22" s="31"/>
      <c r="F22" s="33"/>
      <c r="G22" s="38"/>
      <c r="H22" s="43"/>
      <c r="I22" s="43"/>
      <c r="J22" s="48"/>
      <c r="K22" s="48"/>
      <c r="L22" s="10"/>
      <c r="M22" s="10">
        <f t="shared" si="0"/>
        <v>0</v>
      </c>
      <c r="N22" s="43"/>
      <c r="O22" s="43"/>
      <c r="P22" s="10"/>
      <c r="Q22" s="11">
        <f t="shared" si="1"/>
        <v>0</v>
      </c>
      <c r="R22" s="53"/>
      <c r="S22" s="53"/>
      <c r="T22" s="58"/>
      <c r="U22" s="20"/>
      <c r="V22" s="13"/>
      <c r="W22" s="13"/>
      <c r="X22" s="13"/>
      <c r="Y22" s="13"/>
      <c r="Z22" s="13"/>
      <c r="AA22" s="13"/>
    </row>
    <row r="23" spans="1:27" x14ac:dyDescent="0.3">
      <c r="A23" s="20"/>
      <c r="B23" s="20"/>
      <c r="C23" s="29"/>
      <c r="D23" s="34"/>
      <c r="E23" s="30"/>
      <c r="F23" s="34"/>
      <c r="G23" s="39"/>
      <c r="H23" s="44"/>
      <c r="I23" s="44"/>
      <c r="J23" s="49"/>
      <c r="K23" s="49"/>
      <c r="L23" s="9"/>
      <c r="M23" s="9">
        <f t="shared" si="0"/>
        <v>0</v>
      </c>
      <c r="N23" s="44"/>
      <c r="O23" s="44"/>
      <c r="P23" s="9"/>
      <c r="Q23" s="12">
        <f t="shared" si="1"/>
        <v>0</v>
      </c>
      <c r="R23" s="54"/>
      <c r="S23" s="54"/>
      <c r="T23" s="59"/>
      <c r="U23" s="20"/>
      <c r="V23" s="13"/>
      <c r="W23" s="13"/>
      <c r="X23" s="13"/>
      <c r="Y23" s="13"/>
      <c r="Z23" s="13"/>
      <c r="AA23" s="13"/>
    </row>
    <row r="24" spans="1:27" ht="15" thickBot="1" x14ac:dyDescent="0.35">
      <c r="A24" s="20"/>
      <c r="B24" s="20"/>
      <c r="C24" s="60"/>
      <c r="D24" s="6"/>
      <c r="E24" s="6"/>
      <c r="F24" s="6"/>
      <c r="G24" s="6"/>
      <c r="H24" s="19" t="s">
        <v>9</v>
      </c>
      <c r="I24" s="69">
        <f>SUM(I13:I23)</f>
        <v>0</v>
      </c>
      <c r="J24" s="69">
        <f>SUM(J13:J23)</f>
        <v>0</v>
      </c>
      <c r="K24" s="70">
        <f>IFERROR(AVERAGE(K13:K23),)</f>
        <v>0</v>
      </c>
      <c r="L24" s="69">
        <f>SUM(L13:L23)</f>
        <v>0</v>
      </c>
      <c r="M24" s="69">
        <f>SUM(M13:M23)</f>
        <v>0</v>
      </c>
      <c r="N24" s="69">
        <f>SUM(N13:N23)</f>
        <v>0</v>
      </c>
      <c r="O24" s="69">
        <f>SUM(O13:O23)</f>
        <v>0</v>
      </c>
      <c r="P24" s="69">
        <f>SUM(P13:P23)</f>
        <v>0</v>
      </c>
      <c r="Q24" s="84">
        <f>AVERAGE(Q13:Q23)</f>
        <v>0</v>
      </c>
      <c r="R24" s="6"/>
      <c r="S24" s="6"/>
      <c r="T24" s="7"/>
      <c r="U24" s="20"/>
      <c r="V24" s="13"/>
      <c r="W24" s="13"/>
      <c r="X24" s="13"/>
      <c r="Y24" s="13"/>
      <c r="Z24" s="13"/>
      <c r="AA24" s="13"/>
    </row>
    <row r="25" spans="1:27" x14ac:dyDescent="0.3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13"/>
      <c r="W25" s="13"/>
      <c r="X25" s="13"/>
      <c r="Y25" s="13"/>
      <c r="Z25" s="13"/>
      <c r="AA25" s="13"/>
    </row>
    <row r="26" spans="1:27" x14ac:dyDescent="0.3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13"/>
      <c r="W26" s="13"/>
      <c r="X26" s="13"/>
      <c r="Y26" s="13"/>
      <c r="Z26" s="13"/>
      <c r="AA26" s="13"/>
    </row>
    <row r="27" spans="1:27" x14ac:dyDescent="0.3">
      <c r="A27" s="13"/>
      <c r="B27" s="13"/>
      <c r="C27" s="13"/>
      <c r="D27" s="13"/>
      <c r="E27" s="13"/>
      <c r="F27" s="13"/>
      <c r="G27" s="14"/>
      <c r="H27" s="15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1:27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1:27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1:27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1:27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1:27" x14ac:dyDescent="0.3">
      <c r="A32" s="13"/>
      <c r="B32" s="13"/>
      <c r="C32" s="13"/>
      <c r="D32" s="13"/>
      <c r="E32" s="13"/>
      <c r="F32" s="13"/>
      <c r="G32" s="16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1:27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</row>
    <row r="34" spans="1:27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1:27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</row>
    <row r="36" spans="1:27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1:27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</row>
    <row r="38" spans="1:27" x14ac:dyDescent="0.3"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7" x14ac:dyDescent="0.3"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1:27" x14ac:dyDescent="0.3"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7" x14ac:dyDescent="0.3"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1:27" x14ac:dyDescent="0.3"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1:27" x14ac:dyDescent="0.3">
      <c r="U43" s="13"/>
      <c r="V43" s="13"/>
      <c r="W43" s="13"/>
      <c r="X43" s="13"/>
      <c r="Y43" s="13"/>
      <c r="Z43" s="13"/>
      <c r="AA43" s="13"/>
    </row>
  </sheetData>
  <sheetProtection algorithmName="SHA-512" hashValue="ER+jJeXPeIB0Ab5/0M0sS7SieNtCwcVAFAKviJkcIgXIXg3ie4nwgw72jRz4a4PlbUd8OH6dXPjZAYB5b4s2Xg==" saltValue="yfS1XeOwmG7DT+skE+VeJA==" spinCount="100000" sheet="1" objects="1" scenarios="1"/>
  <mergeCells count="9">
    <mergeCell ref="G6:H6"/>
    <mergeCell ref="G7:H7"/>
    <mergeCell ref="C3:E3"/>
    <mergeCell ref="C4:E4"/>
    <mergeCell ref="C9:C10"/>
    <mergeCell ref="G3:H3"/>
    <mergeCell ref="G4:H4"/>
    <mergeCell ref="C6:D6"/>
    <mergeCell ref="C7:D7"/>
  </mergeCells>
  <dataValidations count="3">
    <dataValidation type="list" allowBlank="1" showInputMessage="1" showErrorMessage="1" sqref="S13:S23" xr:uid="{3FFE029F-6C30-4548-BF27-E80369CC009B}">
      <formula1>"Yes, No"</formula1>
    </dataValidation>
    <dataValidation type="list" allowBlank="1" showInputMessage="1" showErrorMessage="1" sqref="G4:H4" xr:uid="{B164FE97-2E6D-48BC-83A2-6390392DB22C}">
      <formula1>"Purchase, Refinance (C/O), Refinance (R/T)"</formula1>
    </dataValidation>
    <dataValidation type="list" allowBlank="1" showInputMessage="1" showErrorMessage="1" sqref="E13:E23" xr:uid="{69F4FDB3-602B-4C49-A7D7-B2A1571918BA}">
      <formula1>"AL,AZ,AR,CA,CO,CT,DC,DE,FL,GA,HI,ID,IL,IN,IA,KS,KY,LA,ME,MD,MA,MI,MN,MS,MO,MT,NE,NV,NH,NJ,NM,NY,NC,OH,OK,OR,PA,RI,SC,TN,TX,UT,VT,VA,WA,WV,WI,WY"</formula1>
    </dataValidation>
  </dataValidations>
  <pageMargins left="0.5" right="0.5" top="0.5" bottom="0.5" header="0.3" footer="0.5"/>
  <pageSetup paperSize="1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Terrence Taylor</dc:creator>
  <cp:lastModifiedBy>Terrence Taylor</cp:lastModifiedBy>
  <cp:lastPrinted>2022-02-21T21:16:15Z</cp:lastPrinted>
  <dcterms:created xsi:type="dcterms:W3CDTF">2022-02-20T01:48:14Z</dcterms:created>
  <dcterms:modified xsi:type="dcterms:W3CDTF">2022-04-05T18:48:54Z</dcterms:modified>
</cp:coreProperties>
</file>