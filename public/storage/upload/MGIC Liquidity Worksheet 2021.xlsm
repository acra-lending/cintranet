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Users\lisac\OneDrive - Citadel Servicing Corp\Desktop\"/>
    </mc:Choice>
  </mc:AlternateContent>
  <xr:revisionPtr revIDLastSave="0" documentId="8_{47DC90FE-20F6-400E-B405-D7181DD13ED9}" xr6:coauthVersionLast="47" xr6:coauthVersionMax="47" xr10:uidLastSave="{00000000-0000-0000-0000-000000000000}"/>
  <workbookProtection workbookAlgorithmName="SHA-512" workbookHashValue="qtoeBdTV7iSipGssPNwVVrZ4mSCGjE2WanFhwcSS2400bd9/oycBAdokbQmwufRFySREdFG+0EWObU/hyCecDw==" workbookSaltValue="4dp7WrYBMYy4UmGzaFlGCw==" workbookSpinCount="100000" lockStructure="1"/>
  <bookViews>
    <workbookView xWindow="-120" yWindow="-120" windowWidth="29040" windowHeight="15840" xr2:uid="{00000000-000D-0000-FFFF-FFFF00000000}"/>
  </bookViews>
  <sheets>
    <sheet name="Liquidity" sheetId="2" r:id="rId1"/>
    <sheet name="LOOKUPS" sheetId="3" state="hidden" r:id="rId2"/>
  </sheets>
  <definedNames>
    <definedName name="LKP_MILEAGE">OFFSET(LOOKUPS!$B$1,1,0,COUNTA(LOOKUPS!$B:$B)-1,2)</definedName>
    <definedName name="LKP_MONTH">OFFSET(LOOKUPS!$D$1,1,0,COUNTA(LOOKUPS!$D:$D)-1,1)</definedName>
    <definedName name="LKP_YEAR">OFFSET(LOOKUPS!$B$1,1,0,COUNTA(LOOKUPS!$B:$B)-1,1)</definedName>
    <definedName name="_xlnm.Print_Area" localSheetId="0">Liquidity!$B$1:$M$41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K14" i="2" l="1"/>
  <c r="H14" i="2"/>
  <c r="K19" i="2"/>
  <c r="K23" i="2" s="1"/>
  <c r="H19" i="2"/>
  <c r="K13" i="2"/>
  <c r="H13" i="2"/>
  <c r="K28" i="2" l="1"/>
  <c r="K27" i="2"/>
  <c r="H27" i="2"/>
  <c r="K26" i="2"/>
  <c r="H26" i="2"/>
  <c r="K21" i="2"/>
  <c r="H21" i="2"/>
  <c r="H28" i="2"/>
  <c r="K22" i="2"/>
  <c r="K24" i="2" s="1"/>
  <c r="H22" i="2"/>
  <c r="K29" i="2" l="1"/>
  <c r="H29" i="2"/>
  <c r="H23" i="2"/>
  <c r="H24" i="2" s="1"/>
</calcChain>
</file>

<file path=xl/sharedStrings.xml><?xml version="1.0" encoding="utf-8"?>
<sst xmlns="http://schemas.openxmlformats.org/spreadsheetml/2006/main" count="42" uniqueCount="34">
  <si>
    <t>LKP_YEAR</t>
  </si>
  <si>
    <t>HAS_DATA_PROMPT</t>
  </si>
  <si>
    <t>HAS_DATA_DEL</t>
  </si>
  <si>
    <t>MILEAGE_RATE</t>
  </si>
  <si>
    <t>LKP_MONTHS</t>
  </si>
  <si>
    <t>SUMM_DATA_VALIDATION</t>
  </si>
  <si>
    <t>M</t>
  </si>
  <si>
    <t>VIRGIN_WBK</t>
  </si>
  <si>
    <t xml:space="preserve">Business Name:   </t>
  </si>
  <si>
    <t xml:space="preserve">Annualization date: </t>
  </si>
  <si>
    <t xml:space="preserve"> Liquidity Worksheet</t>
  </si>
  <si>
    <t>Schedule L - Assets</t>
  </si>
  <si>
    <t>Other:</t>
  </si>
  <si>
    <t>Total Current Assets:</t>
  </si>
  <si>
    <t>Schedule L - Liabilities</t>
  </si>
  <si>
    <t>Total Current Liabilities:</t>
  </si>
  <si>
    <t>Current Ratio</t>
  </si>
  <si>
    <t>Quick Ratio</t>
  </si>
  <si>
    <r>
      <t xml:space="preserve">Total Current Assets: </t>
    </r>
    <r>
      <rPr>
        <b/>
        <sz val="12"/>
        <color theme="4"/>
        <rFont val="Calibri"/>
        <family val="2"/>
        <scheme val="minor"/>
      </rPr>
      <t>Row 5 - Assets above</t>
    </r>
  </si>
  <si>
    <r>
      <t xml:space="preserve">Total Current Liabilities: </t>
    </r>
    <r>
      <rPr>
        <b/>
        <sz val="12"/>
        <color theme="4"/>
        <rFont val="Calibri"/>
        <family val="2"/>
        <scheme val="minor"/>
      </rPr>
      <t>Row 9 - Liabilities above</t>
    </r>
  </si>
  <si>
    <r>
      <rPr>
        <b/>
        <sz val="16"/>
        <color theme="1"/>
        <rFont val="Calibri"/>
        <family val="2"/>
        <scheme val="minor"/>
      </rPr>
      <t>Current Ratio</t>
    </r>
    <r>
      <rPr>
        <b/>
        <sz val="14"/>
        <color theme="1"/>
        <rFont val="Calibri"/>
        <family val="2"/>
        <scheme val="minor"/>
      </rPr>
      <t>:</t>
    </r>
    <r>
      <rPr>
        <b/>
        <sz val="12"/>
        <color theme="1"/>
        <rFont val="Calibri"/>
        <family val="2"/>
        <scheme val="minor"/>
      </rPr>
      <t xml:space="preserve"> </t>
    </r>
    <r>
      <rPr>
        <b/>
        <sz val="12"/>
        <color theme="4"/>
        <rFont val="Calibri"/>
        <family val="2"/>
        <scheme val="minor"/>
      </rPr>
      <t>In general, a ratio ≥ 1 demonstrates adequate liquidity</t>
    </r>
  </si>
  <si>
    <r>
      <rPr>
        <b/>
        <sz val="16"/>
        <rFont val="Calibri"/>
        <family val="2"/>
        <scheme val="minor"/>
      </rPr>
      <t>Quick Ratio:</t>
    </r>
    <r>
      <rPr>
        <b/>
        <sz val="12"/>
        <color theme="4"/>
        <rFont val="Calibri"/>
        <family val="2"/>
        <scheme val="minor"/>
      </rPr>
      <t xml:space="preserve"> In general, a ratio ≥ 1 demonstrates adequate liquidity</t>
    </r>
  </si>
  <si>
    <r>
      <t xml:space="preserve">  Cash, notes, accounts receivable (less bad debt) &amp; other: </t>
    </r>
    <r>
      <rPr>
        <b/>
        <sz val="12"/>
        <color theme="4"/>
        <rFont val="Calibri"/>
        <family val="2"/>
        <scheme val="minor"/>
      </rPr>
      <t>Rows 1, 2 &amp; 4 - Assets above</t>
    </r>
  </si>
  <si>
    <r>
      <t xml:space="preserve">Cash: </t>
    </r>
    <r>
      <rPr>
        <b/>
        <sz val="12"/>
        <color rgb="FF5B9BD5"/>
        <rFont val="Calibri"/>
        <family val="2"/>
        <scheme val="minor"/>
      </rPr>
      <t>Line 1, Column d</t>
    </r>
  </si>
  <si>
    <r>
      <t xml:space="preserve">Trade notes and accounts receivable, less bad debt: </t>
    </r>
    <r>
      <rPr>
        <b/>
        <sz val="12"/>
        <color rgb="FF5B9BD5"/>
        <rFont val="Calibri"/>
        <family val="2"/>
        <scheme val="minor"/>
      </rPr>
      <t>Line 2b, Column d</t>
    </r>
  </si>
  <si>
    <r>
      <t xml:space="preserve">Inventories: </t>
    </r>
    <r>
      <rPr>
        <b/>
        <sz val="12"/>
        <color rgb="FF5B9BD5"/>
        <rFont val="Calibri"/>
        <family val="2"/>
        <scheme val="minor"/>
      </rPr>
      <t>Line 3, Column d</t>
    </r>
  </si>
  <si>
    <r>
      <t xml:space="preserve">Accounts Payable: </t>
    </r>
    <r>
      <rPr>
        <b/>
        <sz val="12"/>
        <color rgb="FF5B9BD5"/>
        <rFont val="Calibri"/>
        <family val="2"/>
        <scheme val="minor"/>
      </rPr>
      <t>Form 1120S Line 16/Form 1065 Line 15, Column d</t>
    </r>
  </si>
  <si>
    <r>
      <t xml:space="preserve">Mortgages, notes, bonds payable &lt; 1 year: </t>
    </r>
    <r>
      <rPr>
        <b/>
        <sz val="12"/>
        <color rgb="FF5B9BD5"/>
        <rFont val="Calibri"/>
        <family val="2"/>
        <scheme val="minor"/>
      </rPr>
      <t>Form 1120S Line 17/Form 1065 Line 16, Column d</t>
    </r>
  </si>
  <si>
    <r>
      <t xml:space="preserve">Other current liabilities: </t>
    </r>
    <r>
      <rPr>
        <b/>
        <sz val="12"/>
        <color rgb="FF5B9BD5"/>
        <rFont val="Calibri"/>
        <family val="2"/>
        <scheme val="minor"/>
      </rPr>
      <t>Form 1120S Line 18/Form 1065 Line 17, Column d</t>
    </r>
  </si>
  <si>
    <t xml:space="preserve">Date:   </t>
  </si>
  <si>
    <t>Select the Year(s):</t>
  </si>
  <si>
    <r>
      <t>Determine business liquidity using tax return or interim balance sheet and entering the applicable line items below.</t>
    </r>
    <r>
      <rPr>
        <b/>
        <sz val="8"/>
        <color theme="1"/>
        <rFont val="Calibri"/>
        <family val="2"/>
        <scheme val="minor"/>
      </rPr>
      <t xml:space="preserve">
</t>
    </r>
    <r>
      <rPr>
        <b/>
        <sz val="16"/>
        <color theme="1"/>
        <rFont val="Calibri"/>
        <family val="2"/>
        <scheme val="minor"/>
      </rPr>
      <t>In general:</t>
    </r>
    <r>
      <rPr>
        <b/>
        <sz val="11"/>
        <color theme="1"/>
        <rFont val="Calibri"/>
        <family val="2"/>
        <scheme val="minor"/>
      </rPr>
      <t xml:space="preserve">
   • Use the </t>
    </r>
    <r>
      <rPr>
        <b/>
        <i/>
        <sz val="11"/>
        <color theme="1"/>
        <rFont val="Calibri"/>
        <family val="2"/>
        <scheme val="minor"/>
      </rPr>
      <t>Current Ratio</t>
    </r>
    <r>
      <rPr>
        <b/>
        <sz val="11"/>
        <color theme="1"/>
        <rFont val="Calibri"/>
        <family val="2"/>
        <scheme val="minor"/>
      </rPr>
      <t xml:space="preserve"> for a business that doesn’t rely on inventory to generate its income (i.e., pest control company)
   • Use the </t>
    </r>
    <r>
      <rPr>
        <b/>
        <i/>
        <sz val="11"/>
        <color theme="1"/>
        <rFont val="Calibri"/>
        <family val="2"/>
        <scheme val="minor"/>
      </rPr>
      <t>Quick Ratio</t>
    </r>
    <r>
      <rPr>
        <b/>
        <sz val="11"/>
        <color theme="1"/>
        <rFont val="Calibri"/>
        <family val="2"/>
        <scheme val="minor"/>
      </rPr>
      <t xml:space="preserve"> for a business that relies heavily on inventory to generate its income (i.e., hardware store)
Typically, a result of 1.00 or greater for either ratio demonstrates adequate liquidity.  However, it’s important to use the most appropriate ratio, based on how the business operates.  Investor guidelines may vary and other liquidity methods may apply.  FOLLOW INVESTOR GUIDELINES.</t>
    </r>
    <r>
      <rPr>
        <b/>
        <sz val="9"/>
        <color theme="1"/>
        <rFont val="Calibri"/>
        <family val="2"/>
        <scheme val="minor"/>
      </rPr>
      <t xml:space="preserve">
</t>
    </r>
    <r>
      <rPr>
        <b/>
        <sz val="11"/>
        <color theme="1"/>
        <rFont val="Calibri"/>
        <family val="2"/>
        <scheme val="minor"/>
      </rPr>
      <t>NOTE:  If there are no business liabilities, results will reflect N/A, indicating adequate liquidity.</t>
    </r>
  </si>
  <si>
    <t>Completed by:</t>
  </si>
  <si>
    <r>
      <t xml:space="preserve">Comments / Notes  </t>
    </r>
    <r>
      <rPr>
        <b/>
        <i/>
        <sz val="11"/>
        <color theme="1"/>
        <rFont val="Calibri"/>
        <family val="2"/>
        <scheme val="minor"/>
      </rPr>
      <t>(For a new line, hold Alt and press Enter)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</si>
</sst>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
  </numFmts>
  <fonts count="23" x14ac:knownFonts="1">
    <font>
      <sz val="11"/>
      <color theme="1"/>
      <name val="Calibri"/>
      <family val="2"/>
      <scheme val="minor"/>
    </font>
    <font>
      <b/>
      <sz val="11"/>
      <color theme="1"/>
      <name val="Calibri"/>
      <family val="2"/>
      <scheme val="minor"/>
    </font>
    <font>
      <b/>
      <sz val="26"/>
      <color rgb="FF0A3A5C"/>
      <name val="Calibri"/>
      <family val="2"/>
      <scheme val="minor"/>
    </font>
    <font>
      <sz val="11"/>
      <color theme="0"/>
      <name val="Calibri"/>
      <family val="2"/>
      <scheme val="minor"/>
    </font>
    <font>
      <b/>
      <sz val="14"/>
      <color theme="1"/>
      <name val="Calibri"/>
      <family val="2"/>
      <scheme val="minor"/>
    </font>
    <font>
      <b/>
      <sz val="11"/>
      <color theme="0"/>
      <name val="Calibri"/>
      <family val="2"/>
      <scheme val="minor"/>
    </font>
    <font>
      <b/>
      <sz val="12"/>
      <color theme="1"/>
      <name val="Calibri"/>
      <family val="2"/>
      <scheme val="minor"/>
    </font>
    <font>
      <b/>
      <sz val="12"/>
      <color theme="4"/>
      <name val="Calibri"/>
      <family val="2"/>
      <scheme val="minor"/>
    </font>
    <font>
      <sz val="14"/>
      <color theme="1"/>
      <name val="Calibri"/>
      <family val="2"/>
      <scheme val="minor"/>
    </font>
    <font>
      <b/>
      <sz val="12"/>
      <color theme="0"/>
      <name val="Calibri"/>
      <family val="2"/>
      <scheme val="minor"/>
    </font>
    <font>
      <b/>
      <sz val="11"/>
      <name val="Calibri"/>
      <family val="2"/>
      <scheme val="minor"/>
    </font>
    <font>
      <b/>
      <sz val="16"/>
      <color theme="1"/>
      <name val="Calibri"/>
      <family val="2"/>
      <scheme val="minor"/>
    </font>
    <font>
      <b/>
      <sz val="28"/>
      <name val="Calibri"/>
      <family val="2"/>
      <scheme val="minor"/>
    </font>
    <font>
      <b/>
      <sz val="12"/>
      <name val="Calibri"/>
      <family val="2"/>
      <scheme val="minor"/>
    </font>
    <font>
      <b/>
      <sz val="16"/>
      <name val="Calibri"/>
      <family val="2"/>
      <scheme val="minor"/>
    </font>
    <font>
      <sz val="11"/>
      <name val="Calibri"/>
      <family val="2"/>
      <scheme val="minor"/>
    </font>
    <font>
      <b/>
      <sz val="11.5"/>
      <color theme="1"/>
      <name val="Calibri"/>
      <family val="2"/>
      <scheme val="minor"/>
    </font>
    <font>
      <u/>
      <sz val="11"/>
      <color theme="10"/>
      <name val="Calibri"/>
      <family val="2"/>
      <scheme val="minor"/>
    </font>
    <font>
      <b/>
      <sz val="12"/>
      <color rgb="FF000000"/>
      <name val="Calibri"/>
      <family val="2"/>
      <scheme val="minor"/>
    </font>
    <font>
      <b/>
      <sz val="12"/>
      <color rgb="FF5B9BD5"/>
      <name val="Calibri"/>
      <family val="2"/>
      <scheme val="minor"/>
    </font>
    <font>
      <b/>
      <sz val="9"/>
      <color theme="1"/>
      <name val="Calibri"/>
      <family val="2"/>
      <scheme val="minor"/>
    </font>
    <font>
      <b/>
      <sz val="8"/>
      <color theme="1"/>
      <name val="Calibri"/>
      <family val="2"/>
      <scheme val="minor"/>
    </font>
    <font>
      <b/>
      <i/>
      <sz val="11"/>
      <color theme="1"/>
      <name val="Calibri"/>
      <family val="2"/>
      <scheme val="minor"/>
    </font>
  </fonts>
  <fills count="8">
    <fill>
      <patternFill patternType="none"/>
    </fill>
    <fill>
      <patternFill patternType="gray125"/>
    </fill>
    <fill>
      <patternFill patternType="solid">
        <fgColor theme="4" tint="0.79998168889431442"/>
        <bgColor indexed="64"/>
      </patternFill>
    </fill>
    <fill>
      <patternFill patternType="solid">
        <fgColor rgb="FFDDDDDD"/>
        <bgColor indexed="64"/>
      </patternFill>
    </fill>
    <fill>
      <patternFill patternType="solid">
        <fgColor rgb="FFE2E2E2"/>
        <bgColor indexed="64"/>
      </patternFill>
    </fill>
    <fill>
      <patternFill patternType="solid">
        <fgColor theme="0"/>
        <bgColor indexed="64"/>
      </patternFill>
    </fill>
    <fill>
      <patternFill patternType="solid">
        <fgColor theme="8"/>
        <bgColor indexed="64"/>
      </patternFill>
    </fill>
    <fill>
      <patternFill patternType="solid">
        <fgColor theme="8" tint="0.59999389629810485"/>
        <bgColor indexed="64"/>
      </patternFill>
    </fill>
  </fills>
  <borders count="32">
    <border>
      <left/>
      <right/>
      <top/>
      <bottom/>
      <diagonal/>
    </border>
    <border>
      <left/>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thin">
        <color theme="8"/>
      </bottom>
      <diagonal/>
    </border>
    <border>
      <left style="thin">
        <color theme="8"/>
      </left>
      <right style="thin">
        <color theme="8"/>
      </right>
      <top style="thin">
        <color theme="8"/>
      </top>
      <bottom style="thin">
        <color theme="8"/>
      </bottom>
      <diagonal/>
    </border>
    <border>
      <left style="thin">
        <color theme="8"/>
      </left>
      <right/>
      <top style="thin">
        <color theme="8"/>
      </top>
      <bottom style="thin">
        <color theme="8"/>
      </bottom>
      <diagonal/>
    </border>
    <border>
      <left/>
      <right style="thin">
        <color theme="8"/>
      </right>
      <top style="thin">
        <color theme="8"/>
      </top>
      <bottom style="thin">
        <color theme="8"/>
      </bottom>
      <diagonal/>
    </border>
    <border>
      <left/>
      <right/>
      <top style="thin">
        <color theme="8"/>
      </top>
      <bottom style="thin">
        <color theme="8"/>
      </bottom>
      <diagonal/>
    </border>
    <border>
      <left/>
      <right/>
      <top style="thin">
        <color theme="8"/>
      </top>
      <bottom/>
      <diagonal/>
    </border>
    <border>
      <left style="thin">
        <color theme="8"/>
      </left>
      <right/>
      <top style="thin">
        <color theme="8"/>
      </top>
      <bottom/>
      <diagonal/>
    </border>
    <border>
      <left/>
      <right style="thin">
        <color theme="8"/>
      </right>
      <top style="thin">
        <color theme="8"/>
      </top>
      <bottom/>
      <diagonal/>
    </border>
    <border>
      <left style="thin">
        <color theme="8"/>
      </left>
      <right/>
      <top/>
      <bottom/>
      <diagonal/>
    </border>
    <border>
      <left/>
      <right style="thin">
        <color theme="8"/>
      </right>
      <top/>
      <bottom/>
      <diagonal/>
    </border>
    <border>
      <left style="thin">
        <color theme="8"/>
      </left>
      <right/>
      <top/>
      <bottom style="thin">
        <color theme="8"/>
      </bottom>
      <diagonal/>
    </border>
    <border>
      <left/>
      <right style="thin">
        <color theme="8"/>
      </right>
      <top/>
      <bottom style="thin">
        <color theme="8"/>
      </bottom>
      <diagonal/>
    </border>
    <border>
      <left/>
      <right style="thin">
        <color theme="0"/>
      </right>
      <top/>
      <bottom/>
      <diagonal/>
    </border>
    <border>
      <left/>
      <right/>
      <top/>
      <bottom style="thick">
        <color rgb="FF0070C0"/>
      </bottom>
      <diagonal/>
    </border>
    <border>
      <left/>
      <right/>
      <top style="thick">
        <color rgb="FF0070C0"/>
      </top>
      <bottom style="thick">
        <color rgb="FF0070C0"/>
      </bottom>
      <diagonal/>
    </border>
    <border>
      <left/>
      <right/>
      <top style="thick">
        <color rgb="FF0070C0"/>
      </top>
      <bottom/>
      <diagonal/>
    </border>
  </borders>
  <cellStyleXfs count="2">
    <xf numFmtId="0" fontId="0" fillId="0" borderId="0"/>
    <xf numFmtId="0" fontId="17" fillId="0" borderId="0" applyNumberFormat="0" applyFill="0" applyBorder="0" applyAlignment="0" applyProtection="0"/>
  </cellStyleXfs>
  <cellXfs count="108">
    <xf numFmtId="0" fontId="0" fillId="0" borderId="0" xfId="0"/>
    <xf numFmtId="0" fontId="2" fillId="0" borderId="0" xfId="0" applyFont="1"/>
    <xf numFmtId="0" fontId="0" fillId="0" borderId="0" xfId="0" applyAlignment="1">
      <alignment vertical="center"/>
    </xf>
    <xf numFmtId="0" fontId="0" fillId="0" borderId="0" xfId="0" applyAlignment="1">
      <alignment horizontal="left" vertical="center"/>
    </xf>
    <xf numFmtId="0" fontId="2" fillId="0" borderId="0" xfId="0" applyFont="1" applyProtection="1"/>
    <xf numFmtId="0" fontId="0" fillId="0" borderId="0" xfId="0" applyProtection="1"/>
    <xf numFmtId="0" fontId="0" fillId="0" borderId="0" xfId="0" applyAlignment="1" applyProtection="1">
      <alignment vertical="center"/>
    </xf>
    <xf numFmtId="0" fontId="0" fillId="0" borderId="0" xfId="0" applyBorder="1" applyAlignment="1" applyProtection="1">
      <alignment vertical="center"/>
    </xf>
    <xf numFmtId="0" fontId="0" fillId="0" borderId="0" xfId="0" applyFill="1" applyBorder="1" applyAlignment="1" applyProtection="1">
      <alignment vertical="center"/>
    </xf>
    <xf numFmtId="0" fontId="0" fillId="0" borderId="9" xfId="0" applyBorder="1" applyAlignment="1" applyProtection="1">
      <alignment vertical="center"/>
    </xf>
    <xf numFmtId="0" fontId="1" fillId="0" borderId="3" xfId="0" applyFont="1" applyBorder="1" applyAlignment="1" applyProtection="1">
      <alignment vertical="center"/>
    </xf>
    <xf numFmtId="0" fontId="0" fillId="0" borderId="3" xfId="0" applyBorder="1" applyAlignment="1" applyProtection="1">
      <alignment vertical="center"/>
    </xf>
    <xf numFmtId="0" fontId="0" fillId="0" borderId="10" xfId="0" applyBorder="1" applyAlignment="1" applyProtection="1">
      <alignment vertical="center"/>
    </xf>
    <xf numFmtId="0" fontId="0" fillId="0" borderId="0" xfId="0" applyAlignment="1" applyProtection="1">
      <alignment horizontal="left" vertical="center"/>
    </xf>
    <xf numFmtId="0" fontId="0" fillId="0" borderId="4" xfId="0" applyBorder="1" applyAlignment="1" applyProtection="1">
      <alignment horizontal="left" vertical="center"/>
    </xf>
    <xf numFmtId="0" fontId="0" fillId="0" borderId="6" xfId="0" applyBorder="1" applyProtection="1"/>
    <xf numFmtId="0" fontId="0" fillId="0" borderId="2" xfId="0" applyBorder="1" applyProtection="1"/>
    <xf numFmtId="0" fontId="0" fillId="0" borderId="7" xfId="0" applyBorder="1" applyProtection="1"/>
    <xf numFmtId="0" fontId="0" fillId="2" borderId="0" xfId="0" applyFill="1"/>
    <xf numFmtId="0" fontId="3" fillId="0" borderId="5" xfId="0" quotePrefix="1" applyFont="1" applyBorder="1" applyAlignment="1" applyProtection="1">
      <alignment horizontal="left" vertical="center"/>
    </xf>
    <xf numFmtId="0" fontId="0" fillId="3" borderId="8" xfId="0" applyFill="1" applyBorder="1" applyAlignment="1" applyProtection="1">
      <alignment horizontal="center" vertical="center"/>
    </xf>
    <xf numFmtId="0" fontId="0" fillId="0" borderId="5" xfId="0" applyBorder="1" applyAlignment="1" applyProtection="1">
      <alignment vertical="center"/>
    </xf>
    <xf numFmtId="0" fontId="0" fillId="0" borderId="4" xfId="0" applyBorder="1" applyAlignment="1">
      <alignment vertical="center"/>
    </xf>
    <xf numFmtId="0" fontId="6" fillId="0" borderId="0" xfId="0" applyFont="1" applyBorder="1" applyAlignment="1" applyProtection="1">
      <alignment horizontal="left" vertical="center" indent="1"/>
    </xf>
    <xf numFmtId="0" fontId="0" fillId="0" borderId="0" xfId="0" applyBorder="1" applyAlignment="1">
      <alignment vertical="center"/>
    </xf>
    <xf numFmtId="0" fontId="6" fillId="0" borderId="0" xfId="0" applyFont="1" applyBorder="1" applyAlignment="1" applyProtection="1">
      <alignment vertical="center"/>
    </xf>
    <xf numFmtId="0" fontId="6" fillId="0" borderId="6" xfId="0" applyFont="1" applyBorder="1" applyAlignment="1" applyProtection="1">
      <alignment horizontal="left" vertical="center" indent="1"/>
    </xf>
    <xf numFmtId="0" fontId="6" fillId="0" borderId="2" xfId="0" applyFont="1" applyFill="1" applyBorder="1" applyAlignment="1" applyProtection="1">
      <alignment horizontal="center" vertical="center"/>
    </xf>
    <xf numFmtId="0" fontId="6" fillId="0" borderId="2" xfId="0" applyFont="1" applyBorder="1" applyAlignment="1" applyProtection="1">
      <alignment vertical="center"/>
    </xf>
    <xf numFmtId="0" fontId="0" fillId="0" borderId="2" xfId="0" applyBorder="1" applyAlignment="1" applyProtection="1">
      <alignment vertical="center"/>
    </xf>
    <xf numFmtId="0" fontId="0" fillId="0" borderId="7" xfId="0" applyBorder="1" applyAlignment="1" applyProtection="1">
      <alignment vertical="center"/>
    </xf>
    <xf numFmtId="0" fontId="0" fillId="3" borderId="11" xfId="0" applyFill="1" applyBorder="1" applyAlignment="1" applyProtection="1">
      <alignment horizontal="center" vertical="center"/>
    </xf>
    <xf numFmtId="0" fontId="8" fillId="3" borderId="12" xfId="0" applyFont="1" applyFill="1" applyBorder="1" applyAlignment="1" applyProtection="1">
      <alignment horizontal="left" vertical="center" indent="1"/>
    </xf>
    <xf numFmtId="0" fontId="1" fillId="3" borderId="1" xfId="0" applyFont="1" applyFill="1" applyBorder="1" applyAlignment="1" applyProtection="1">
      <alignment vertical="center"/>
    </xf>
    <xf numFmtId="0" fontId="1" fillId="3" borderId="1" xfId="0" applyFont="1" applyFill="1" applyBorder="1" applyAlignment="1" applyProtection="1">
      <alignment horizontal="right" vertical="center"/>
    </xf>
    <xf numFmtId="0" fontId="0" fillId="3" borderId="1" xfId="0" applyFill="1" applyBorder="1" applyAlignment="1" applyProtection="1">
      <alignment vertical="center"/>
    </xf>
    <xf numFmtId="0" fontId="0" fillId="3" borderId="13" xfId="0" applyFill="1" applyBorder="1" applyAlignment="1" applyProtection="1">
      <alignment vertical="center"/>
    </xf>
    <xf numFmtId="0" fontId="1" fillId="3" borderId="12" xfId="0" applyFont="1" applyFill="1" applyBorder="1" applyAlignment="1" applyProtection="1">
      <alignment vertical="center"/>
    </xf>
    <xf numFmtId="0" fontId="0" fillId="5" borderId="0" xfId="0" applyFill="1" applyAlignment="1" applyProtection="1">
      <alignment vertical="center"/>
    </xf>
    <xf numFmtId="0" fontId="8" fillId="5" borderId="6" xfId="0" applyFont="1" applyFill="1" applyBorder="1" applyAlignment="1" applyProtection="1">
      <alignment horizontal="left" vertical="center" indent="1"/>
    </xf>
    <xf numFmtId="0" fontId="1" fillId="5" borderId="0" xfId="0" applyFont="1" applyFill="1" applyBorder="1" applyAlignment="1" applyProtection="1">
      <alignment vertical="center"/>
    </xf>
    <xf numFmtId="0" fontId="1" fillId="5" borderId="0" xfId="0" applyFont="1" applyFill="1" applyBorder="1" applyAlignment="1" applyProtection="1">
      <alignment horizontal="right" vertical="center"/>
    </xf>
    <xf numFmtId="0" fontId="1" fillId="5" borderId="0" xfId="0" applyFont="1" applyFill="1" applyBorder="1" applyAlignment="1" applyProtection="1">
      <alignment horizontal="center" vertical="center"/>
      <protection locked="0"/>
    </xf>
    <xf numFmtId="0" fontId="0" fillId="5" borderId="0" xfId="0" applyFill="1" applyBorder="1" applyAlignment="1" applyProtection="1">
      <alignment vertical="center"/>
    </xf>
    <xf numFmtId="0" fontId="0" fillId="5" borderId="5" xfId="0" applyFill="1" applyBorder="1" applyAlignment="1" applyProtection="1">
      <alignment vertical="center"/>
    </xf>
    <xf numFmtId="0" fontId="0" fillId="5" borderId="0" xfId="0" applyFill="1" applyAlignment="1">
      <alignment vertical="center"/>
    </xf>
    <xf numFmtId="0" fontId="1" fillId="5" borderId="0" xfId="0" applyFont="1" applyFill="1" applyBorder="1" applyAlignment="1" applyProtection="1">
      <alignment horizontal="center" vertical="center"/>
    </xf>
    <xf numFmtId="0" fontId="0" fillId="0" borderId="0" xfId="0" applyBorder="1" applyProtection="1"/>
    <xf numFmtId="0" fontId="2" fillId="0" borderId="0" xfId="0" applyFont="1" applyBorder="1"/>
    <xf numFmtId="164" fontId="15" fillId="2" borderId="15" xfId="0" applyNumberFormat="1" applyFont="1" applyFill="1" applyBorder="1" applyAlignment="1" applyProtection="1">
      <alignment horizontal="left" vertical="center"/>
      <protection locked="0"/>
    </xf>
    <xf numFmtId="164" fontId="15" fillId="2" borderId="14" xfId="0" applyNumberFormat="1" applyFont="1" applyFill="1" applyBorder="1" applyAlignment="1" applyProtection="1">
      <alignment horizontal="left" vertical="center"/>
      <protection locked="0"/>
    </xf>
    <xf numFmtId="44" fontId="15" fillId="2" borderId="15" xfId="0" applyNumberFormat="1" applyFont="1" applyFill="1" applyBorder="1" applyAlignment="1" applyProtection="1">
      <alignment horizontal="left" vertical="center"/>
      <protection locked="0"/>
    </xf>
    <xf numFmtId="44" fontId="15" fillId="2" borderId="14" xfId="0" applyNumberFormat="1" applyFont="1" applyFill="1" applyBorder="1" applyAlignment="1" applyProtection="1">
      <alignment horizontal="left" vertical="center"/>
      <protection locked="0"/>
    </xf>
    <xf numFmtId="164" fontId="15" fillId="0" borderId="2" xfId="0" applyNumberFormat="1" applyFont="1" applyFill="1" applyBorder="1" applyAlignment="1" applyProtection="1">
      <alignment horizontal="left" vertical="center"/>
    </xf>
    <xf numFmtId="164" fontId="15" fillId="0" borderId="0" xfId="0" applyNumberFormat="1" applyFont="1" applyFill="1" applyBorder="1" applyAlignment="1" applyProtection="1">
      <alignment horizontal="left" vertical="center"/>
    </xf>
    <xf numFmtId="44" fontId="15" fillId="0" borderId="0" xfId="0" applyNumberFormat="1" applyFont="1" applyFill="1" applyBorder="1" applyAlignment="1" applyProtection="1">
      <alignment horizontal="left" vertical="center"/>
    </xf>
    <xf numFmtId="0" fontId="10" fillId="5" borderId="0" xfId="0" applyFont="1" applyFill="1" applyBorder="1" applyAlignment="1" applyProtection="1">
      <alignment horizontal="center" vertical="center"/>
    </xf>
    <xf numFmtId="44" fontId="15" fillId="0" borderId="2" xfId="0" applyNumberFormat="1" applyFont="1" applyFill="1" applyBorder="1" applyAlignment="1" applyProtection="1">
      <alignment horizontal="left" vertical="center"/>
    </xf>
    <xf numFmtId="0" fontId="15" fillId="0" borderId="0" xfId="0" applyFont="1" applyFill="1" applyBorder="1" applyAlignment="1" applyProtection="1">
      <alignment vertical="center"/>
    </xf>
    <xf numFmtId="4" fontId="14" fillId="0" borderId="2" xfId="0" applyNumberFormat="1" applyFont="1" applyFill="1" applyBorder="1" applyAlignment="1" applyProtection="1">
      <alignment horizontal="center" vertical="center"/>
    </xf>
    <xf numFmtId="0" fontId="6" fillId="2" borderId="1" xfId="0" applyFont="1" applyFill="1" applyBorder="1" applyAlignment="1" applyProtection="1">
      <alignment horizontal="center" vertical="center"/>
      <protection locked="0"/>
    </xf>
    <xf numFmtId="0" fontId="13" fillId="3" borderId="1" xfId="0" applyFont="1" applyFill="1" applyBorder="1" applyAlignment="1" applyProtection="1">
      <alignment horizontal="center" vertical="center"/>
    </xf>
    <xf numFmtId="0" fontId="6" fillId="3" borderId="1" xfId="0" applyFont="1" applyFill="1" applyBorder="1" applyAlignment="1" applyProtection="1">
      <alignment horizontal="center" vertical="center"/>
    </xf>
    <xf numFmtId="0" fontId="16" fillId="3" borderId="1" xfId="0" applyFont="1" applyFill="1" applyBorder="1" applyAlignment="1" applyProtection="1">
      <alignment vertical="center"/>
    </xf>
    <xf numFmtId="0" fontId="5" fillId="6" borderId="18" xfId="0" applyFont="1" applyFill="1" applyBorder="1" applyAlignment="1" applyProtection="1">
      <alignment vertical="center"/>
    </xf>
    <xf numFmtId="0" fontId="1" fillId="0" borderId="3" xfId="0" applyFont="1" applyBorder="1" applyAlignment="1" applyProtection="1">
      <alignment horizontal="right" vertical="center"/>
    </xf>
    <xf numFmtId="0" fontId="5" fillId="6" borderId="20" xfId="0" applyFont="1" applyFill="1" applyBorder="1" applyAlignment="1" applyProtection="1">
      <alignment horizontal="right" vertical="center"/>
    </xf>
    <xf numFmtId="14" fontId="10" fillId="7" borderId="20" xfId="0" applyNumberFormat="1" applyFont="1" applyFill="1" applyBorder="1" applyAlignment="1" applyProtection="1">
      <alignment horizontal="left" vertical="center" indent="1"/>
      <protection locked="0"/>
    </xf>
    <xf numFmtId="0" fontId="12" fillId="0" borderId="29" xfId="0" quotePrefix="1" applyFont="1" applyFill="1" applyBorder="1" applyProtection="1"/>
    <xf numFmtId="0" fontId="12" fillId="0" borderId="29" xfId="0" applyFont="1" applyFill="1" applyBorder="1" applyProtection="1"/>
    <xf numFmtId="0" fontId="2" fillId="0" borderId="29" xfId="0" applyFont="1" applyFill="1" applyBorder="1" applyProtection="1"/>
    <xf numFmtId="0" fontId="2" fillId="0" borderId="29" xfId="0" applyFont="1" applyFill="1" applyBorder="1" applyAlignment="1" applyProtection="1">
      <alignment horizontal="center"/>
    </xf>
    <xf numFmtId="0" fontId="0" fillId="0" borderId="30" xfId="0" applyBorder="1"/>
    <xf numFmtId="0" fontId="0" fillId="0" borderId="30" xfId="0" applyBorder="1" applyProtection="1"/>
    <xf numFmtId="0" fontId="10" fillId="7" borderId="17" xfId="0" applyFont="1" applyFill="1" applyBorder="1" applyAlignment="1" applyProtection="1">
      <alignment horizontal="left" vertical="center" indent="1"/>
      <protection locked="0"/>
    </xf>
    <xf numFmtId="0" fontId="5" fillId="6" borderId="18" xfId="0" applyFont="1" applyFill="1" applyBorder="1" applyAlignment="1" applyProtection="1">
      <alignment horizontal="right" vertical="center" indent="1"/>
    </xf>
    <xf numFmtId="0" fontId="1" fillId="4" borderId="31" xfId="0" applyFont="1" applyFill="1" applyBorder="1" applyAlignment="1" applyProtection="1">
      <alignment horizontal="left" vertical="center" wrapText="1" indent="1"/>
    </xf>
    <xf numFmtId="0" fontId="1" fillId="4" borderId="31" xfId="0" applyFont="1" applyFill="1" applyBorder="1" applyAlignment="1" applyProtection="1">
      <alignment horizontal="left" vertical="center" indent="1"/>
    </xf>
    <xf numFmtId="165" fontId="5" fillId="6" borderId="20" xfId="0" applyNumberFormat="1" applyFont="1" applyFill="1" applyBorder="1" applyAlignment="1" applyProtection="1">
      <alignment horizontal="right" vertical="center"/>
    </xf>
    <xf numFmtId="0" fontId="5" fillId="6" borderId="19" xfId="0" applyNumberFormat="1" applyFont="1" applyFill="1" applyBorder="1" applyAlignment="1" applyProtection="1">
      <alignment horizontal="right" vertical="center"/>
    </xf>
    <xf numFmtId="0" fontId="18" fillId="0" borderId="0" xfId="1" applyFont="1" applyBorder="1" applyAlignment="1" applyProtection="1">
      <alignment horizontal="left" vertical="center" indent="1"/>
    </xf>
    <xf numFmtId="0" fontId="6" fillId="0" borderId="0" xfId="0" applyFont="1" applyBorder="1" applyAlignment="1" applyProtection="1">
      <alignment horizontal="left" vertical="center" indent="1"/>
    </xf>
    <xf numFmtId="0" fontId="10" fillId="7" borderId="18" xfId="0" applyFont="1" applyFill="1" applyBorder="1" applyAlignment="1" applyProtection="1">
      <alignment horizontal="left" vertical="center" indent="1"/>
      <protection locked="0"/>
    </xf>
    <xf numFmtId="0" fontId="10" fillId="7" borderId="20" xfId="0" applyFont="1" applyFill="1" applyBorder="1" applyAlignment="1" applyProtection="1">
      <alignment horizontal="left" vertical="center" indent="1"/>
      <protection locked="0"/>
    </xf>
    <xf numFmtId="0" fontId="10" fillId="7" borderId="19" xfId="0" applyFont="1" applyFill="1" applyBorder="1" applyAlignment="1" applyProtection="1">
      <alignment horizontal="left" vertical="center" indent="1"/>
      <protection locked="0"/>
    </xf>
    <xf numFmtId="0" fontId="0" fillId="2" borderId="22" xfId="0" quotePrefix="1" applyFill="1" applyBorder="1" applyAlignment="1" applyProtection="1">
      <alignment horizontal="left" vertical="top" wrapText="1" indent="1"/>
      <protection locked="0"/>
    </xf>
    <xf numFmtId="0" fontId="0" fillId="2" borderId="21" xfId="0" quotePrefix="1" applyFill="1" applyBorder="1" applyAlignment="1" applyProtection="1">
      <alignment horizontal="left" vertical="top" wrapText="1" indent="1"/>
      <protection locked="0"/>
    </xf>
    <xf numFmtId="0" fontId="0" fillId="2" borderId="23" xfId="0" quotePrefix="1" applyFill="1" applyBorder="1" applyAlignment="1" applyProtection="1">
      <alignment horizontal="left" vertical="top" wrapText="1" indent="1"/>
      <protection locked="0"/>
    </xf>
    <xf numFmtId="0" fontId="0" fillId="2" borderId="24" xfId="0" quotePrefix="1" applyFill="1" applyBorder="1" applyAlignment="1" applyProtection="1">
      <alignment horizontal="left" vertical="top" wrapText="1" indent="1"/>
      <protection locked="0"/>
    </xf>
    <xf numFmtId="0" fontId="0" fillId="2" borderId="0" xfId="0" quotePrefix="1" applyFill="1" applyBorder="1" applyAlignment="1" applyProtection="1">
      <alignment horizontal="left" vertical="top" wrapText="1" indent="1"/>
      <protection locked="0"/>
    </xf>
    <xf numFmtId="0" fontId="0" fillId="2" borderId="25" xfId="0" quotePrefix="1" applyFill="1" applyBorder="1" applyAlignment="1" applyProtection="1">
      <alignment horizontal="left" vertical="top" wrapText="1" indent="1"/>
      <protection locked="0"/>
    </xf>
    <xf numFmtId="0" fontId="0" fillId="2" borderId="26" xfId="0" quotePrefix="1" applyFill="1" applyBorder="1" applyAlignment="1" applyProtection="1">
      <alignment horizontal="left" vertical="top" wrapText="1" indent="1"/>
      <protection locked="0"/>
    </xf>
    <xf numFmtId="0" fontId="0" fillId="2" borderId="16" xfId="0" quotePrefix="1" applyFill="1" applyBorder="1" applyAlignment="1" applyProtection="1">
      <alignment horizontal="left" vertical="top" wrapText="1" indent="1"/>
      <protection locked="0"/>
    </xf>
    <xf numFmtId="0" fontId="0" fillId="2" borderId="27" xfId="0" quotePrefix="1" applyFill="1" applyBorder="1" applyAlignment="1" applyProtection="1">
      <alignment horizontal="left" vertical="top" wrapText="1" indent="1"/>
      <protection locked="0"/>
    </xf>
    <xf numFmtId="0" fontId="13" fillId="0" borderId="6" xfId="0" applyFont="1" applyBorder="1" applyAlignment="1" applyProtection="1">
      <alignment horizontal="left" vertical="center" indent="1"/>
    </xf>
    <xf numFmtId="0" fontId="13" fillId="0" borderId="2" xfId="0" applyFont="1" applyBorder="1" applyAlignment="1" applyProtection="1">
      <alignment horizontal="left" vertical="center" indent="1"/>
    </xf>
    <xf numFmtId="0" fontId="6" fillId="2" borderId="0" xfId="0" applyFont="1" applyFill="1" applyBorder="1" applyAlignment="1" applyProtection="1">
      <alignment horizontal="left" vertical="center" indent="1"/>
      <protection locked="0"/>
    </xf>
    <xf numFmtId="0" fontId="9" fillId="6" borderId="18" xfId="0" applyFont="1" applyFill="1" applyBorder="1" applyAlignment="1" applyProtection="1">
      <alignment horizontal="center" vertical="center"/>
    </xf>
    <xf numFmtId="0" fontId="9" fillId="6" borderId="19" xfId="0" applyFont="1" applyFill="1" applyBorder="1" applyAlignment="1" applyProtection="1">
      <alignment horizontal="center" vertical="center"/>
    </xf>
    <xf numFmtId="0" fontId="18" fillId="0" borderId="4" xfId="1" applyFont="1" applyBorder="1" applyAlignment="1" applyProtection="1">
      <alignment horizontal="left" vertical="center" indent="1"/>
    </xf>
    <xf numFmtId="0" fontId="6" fillId="0" borderId="28" xfId="0" applyFont="1" applyBorder="1" applyAlignment="1" applyProtection="1">
      <alignment horizontal="left" vertical="center" indent="1"/>
    </xf>
    <xf numFmtId="0" fontId="6" fillId="0" borderId="9" xfId="0" applyFont="1" applyBorder="1" applyAlignment="1" applyProtection="1">
      <alignment horizontal="left" vertical="center" indent="1"/>
    </xf>
    <xf numFmtId="0" fontId="6" fillId="0" borderId="3" xfId="0" applyFont="1" applyBorder="1" applyAlignment="1" applyProtection="1">
      <alignment horizontal="left" vertical="center" indent="1"/>
    </xf>
    <xf numFmtId="0" fontId="6" fillId="0" borderId="4" xfId="0" applyFont="1" applyBorder="1" applyAlignment="1" applyProtection="1">
      <alignment horizontal="left" vertical="center" indent="1"/>
    </xf>
    <xf numFmtId="0" fontId="6" fillId="0" borderId="6" xfId="0" applyFont="1" applyBorder="1" applyAlignment="1" applyProtection="1">
      <alignment horizontal="left" vertical="center" indent="1"/>
    </xf>
    <xf numFmtId="0" fontId="6" fillId="0" borderId="2" xfId="0" applyFont="1" applyBorder="1" applyAlignment="1" applyProtection="1">
      <alignment horizontal="left" vertical="center" indent="1"/>
    </xf>
    <xf numFmtId="0" fontId="6" fillId="0" borderId="9" xfId="0" applyFont="1" applyBorder="1" applyAlignment="1" applyProtection="1">
      <alignment horizontal="left" vertical="center"/>
    </xf>
    <xf numFmtId="0" fontId="0" fillId="0" borderId="3" xfId="0" applyBorder="1" applyAlignment="1">
      <alignment horizontal="left" vertical="center"/>
    </xf>
  </cellXfs>
  <cellStyles count="2">
    <cellStyle name="Hyperlink" xfId="1" builtinId="8"/>
    <cellStyle name="Normal" xfId="0" builtinId="0"/>
  </cellStyles>
  <dxfs count="0"/>
  <tableStyles count="0" defaultTableStyle="TableStyleMedium2" defaultPivotStyle="PivotStyleLight16"/>
  <colors>
    <mruColors>
      <color rgb="FF6565FF"/>
      <color rgb="FFB16FF4"/>
      <color rgb="FFDDDDDD"/>
      <color rgb="FFB3C3FB"/>
      <color rgb="FFFF6600"/>
      <color rgb="FF41719C"/>
      <color rgb="FF0A3A5C"/>
      <color rgb="FFACD2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746626</xdr:colOff>
      <xdr:row>0</xdr:row>
      <xdr:rowOff>116636</xdr:rowOff>
    </xdr:from>
    <xdr:to>
      <xdr:col>12</xdr:col>
      <xdr:colOff>155546</xdr:colOff>
      <xdr:row>0</xdr:row>
      <xdr:rowOff>440486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07569" y="116636"/>
          <a:ext cx="1033562" cy="323850"/>
        </a:xfrm>
        <a:prstGeom prst="rect">
          <a:avLst/>
        </a:prstGeom>
      </xdr:spPr>
    </xdr:pic>
    <xdr:clientData/>
  </xdr:twoCellAnchor>
  <xdr:twoCellAnchor>
    <xdr:from>
      <xdr:col>6</xdr:col>
      <xdr:colOff>651293</xdr:colOff>
      <xdr:row>6</xdr:row>
      <xdr:rowOff>130691</xdr:rowOff>
    </xdr:from>
    <xdr:to>
      <xdr:col>6</xdr:col>
      <xdr:colOff>773500</xdr:colOff>
      <xdr:row>6</xdr:row>
      <xdr:rowOff>267276</xdr:rowOff>
    </xdr:to>
    <xdr:sp macro="" textlink="">
      <xdr:nvSpPr>
        <xdr:cNvPr id="135" name="Right Arrow 134">
          <a:extLst>
            <a:ext uri="{FF2B5EF4-FFF2-40B4-BE49-F238E27FC236}">
              <a16:creationId xmlns:a16="http://schemas.microsoft.com/office/drawing/2014/main" id="{00000000-0008-0000-0000-000087000000}"/>
            </a:ext>
          </a:extLst>
        </xdr:cNvPr>
        <xdr:cNvSpPr/>
      </xdr:nvSpPr>
      <xdr:spPr>
        <a:xfrm>
          <a:off x="6610133" y="3795911"/>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N41"/>
  <sheetViews>
    <sheetView showGridLines="0" tabSelected="1" zoomScaleNormal="100" workbookViewId="0">
      <pane ySplit="1" topLeftCell="A2" activePane="bottomLeft" state="frozen"/>
      <selection pane="bottomLeft" activeCell="D5" sqref="D5"/>
    </sheetView>
  </sheetViews>
  <sheetFormatPr defaultRowHeight="15" x14ac:dyDescent="0.25"/>
  <cols>
    <col min="1" max="1" width="3.140625" bestFit="1" customWidth="1"/>
    <col min="2" max="2" width="4.42578125" customWidth="1"/>
    <col min="3" max="3" width="14.85546875" customWidth="1"/>
    <col min="4" max="4" width="37.7109375" customWidth="1"/>
    <col min="5" max="5" width="18.7109375" customWidth="1"/>
    <col min="6" max="6" width="8.140625" customWidth="1"/>
    <col min="7" max="7" width="14.140625" customWidth="1"/>
    <col min="8" max="8" width="18.7109375" customWidth="1"/>
    <col min="9" max="9" width="8.140625" customWidth="1"/>
    <col min="10" max="10" width="11.7109375" customWidth="1"/>
    <col min="11" max="11" width="18.7109375" customWidth="1"/>
    <col min="12" max="13" width="4.85546875" customWidth="1"/>
    <col min="14" max="14" width="3.7109375" customWidth="1"/>
    <col min="15" max="15" width="19.28515625" customWidth="1"/>
    <col min="16" max="16" width="3.7109375" customWidth="1"/>
  </cols>
  <sheetData>
    <row r="1" spans="1:14" s="1" customFormat="1" ht="38.450000000000003" customHeight="1" thickBot="1" x14ac:dyDescent="0.6">
      <c r="A1" s="4"/>
      <c r="B1" s="68" t="s">
        <v>10</v>
      </c>
      <c r="C1" s="69"/>
      <c r="D1" s="69"/>
      <c r="E1" s="70"/>
      <c r="F1" s="70"/>
      <c r="G1" s="70"/>
      <c r="H1" s="71"/>
      <c r="I1" s="71"/>
      <c r="J1" s="71"/>
      <c r="K1" s="70"/>
      <c r="L1" s="70"/>
      <c r="M1" s="70"/>
      <c r="N1" s="48"/>
    </row>
    <row r="2" spans="1:14" ht="9" hidden="1" customHeight="1" x14ac:dyDescent="0.25">
      <c r="A2" s="5"/>
      <c r="B2" s="72"/>
      <c r="C2" s="73"/>
      <c r="D2" s="73"/>
      <c r="E2" s="73"/>
      <c r="F2" s="73"/>
      <c r="G2" s="73"/>
      <c r="H2" s="73"/>
      <c r="I2" s="73"/>
      <c r="J2" s="73"/>
      <c r="K2" s="73"/>
      <c r="L2" s="72"/>
      <c r="M2" s="73"/>
      <c r="N2" s="47"/>
    </row>
    <row r="3" spans="1:14" ht="160.15" customHeight="1" thickTop="1" x14ac:dyDescent="0.25">
      <c r="A3" s="5"/>
      <c r="B3" s="76" t="s">
        <v>31</v>
      </c>
      <c r="C3" s="77"/>
      <c r="D3" s="77"/>
      <c r="E3" s="77"/>
      <c r="F3" s="77"/>
      <c r="G3" s="77"/>
      <c r="H3" s="77"/>
      <c r="I3" s="77"/>
      <c r="J3" s="77"/>
      <c r="K3" s="77"/>
      <c r="L3" s="77"/>
      <c r="M3" s="77"/>
    </row>
    <row r="4" spans="1:14" ht="28.9" hidden="1" customHeight="1" x14ac:dyDescent="0.25">
      <c r="A4" s="5"/>
      <c r="B4" s="5"/>
      <c r="C4" s="5"/>
      <c r="D4" s="5"/>
      <c r="E4" s="5"/>
      <c r="F4" s="5"/>
      <c r="G4" s="5"/>
      <c r="H4" s="5"/>
      <c r="I4" s="5"/>
      <c r="J4" s="5"/>
      <c r="K4" s="5"/>
      <c r="L4" s="5"/>
      <c r="M4" s="5"/>
    </row>
    <row r="5" spans="1:14" s="2" customFormat="1" ht="27" customHeight="1" x14ac:dyDescent="0.25">
      <c r="A5" s="6"/>
      <c r="B5" s="97" t="s">
        <v>8</v>
      </c>
      <c r="C5" s="98"/>
      <c r="D5" s="74"/>
      <c r="E5" s="75" t="s">
        <v>32</v>
      </c>
      <c r="F5" s="82"/>
      <c r="G5" s="83"/>
      <c r="H5" s="84"/>
      <c r="I5" s="64"/>
      <c r="J5" s="66" t="s">
        <v>29</v>
      </c>
      <c r="K5" s="67"/>
      <c r="L5" s="78" t="s">
        <v>9</v>
      </c>
      <c r="M5" s="79"/>
    </row>
    <row r="6" spans="1:14" s="2" customFormat="1" ht="6" customHeight="1" x14ac:dyDescent="0.25">
      <c r="A6" s="6"/>
      <c r="B6" s="8"/>
      <c r="C6" s="8"/>
      <c r="D6" s="8"/>
      <c r="E6" s="8"/>
      <c r="F6" s="8"/>
      <c r="G6" s="8"/>
      <c r="H6" s="8"/>
      <c r="I6" s="8"/>
      <c r="J6" s="8"/>
      <c r="K6" s="8"/>
      <c r="L6" s="8"/>
      <c r="M6" s="8"/>
    </row>
    <row r="7" spans="1:14" s="2" customFormat="1" ht="28.15" customHeight="1" x14ac:dyDescent="0.25">
      <c r="A7" s="6"/>
      <c r="B7" s="32" t="s">
        <v>11</v>
      </c>
      <c r="C7" s="37"/>
      <c r="D7" s="33"/>
      <c r="E7" s="33"/>
      <c r="F7" s="63" t="s">
        <v>30</v>
      </c>
      <c r="G7" s="34"/>
      <c r="H7" s="60"/>
      <c r="I7" s="33"/>
      <c r="J7" s="34"/>
      <c r="K7" s="60"/>
      <c r="L7" s="35"/>
      <c r="M7" s="36"/>
    </row>
    <row r="8" spans="1:14" s="45" customFormat="1" ht="4.5" customHeight="1" x14ac:dyDescent="0.25">
      <c r="A8" s="38"/>
      <c r="B8" s="39"/>
      <c r="C8" s="40"/>
      <c r="D8" s="40"/>
      <c r="E8" s="40"/>
      <c r="F8" s="40"/>
      <c r="G8" s="41"/>
      <c r="H8" s="42"/>
      <c r="I8" s="40"/>
      <c r="J8" s="41"/>
      <c r="K8" s="42"/>
      <c r="L8" s="43"/>
      <c r="M8" s="44"/>
    </row>
    <row r="9" spans="1:14" s="2" customFormat="1" ht="25.15" customHeight="1" x14ac:dyDescent="0.25">
      <c r="A9" s="6"/>
      <c r="B9" s="31">
        <v>1</v>
      </c>
      <c r="C9" s="80" t="s">
        <v>23</v>
      </c>
      <c r="D9" s="81"/>
      <c r="E9" s="81"/>
      <c r="F9" s="81"/>
      <c r="G9" s="81"/>
      <c r="H9" s="49"/>
      <c r="I9" s="7"/>
      <c r="J9" s="7"/>
      <c r="K9" s="51"/>
      <c r="L9" s="7"/>
      <c r="M9" s="21"/>
      <c r="N9" s="22"/>
    </row>
    <row r="10" spans="1:14" s="2" customFormat="1" ht="25.15" customHeight="1" x14ac:dyDescent="0.25">
      <c r="A10" s="6"/>
      <c r="B10" s="20">
        <v>2</v>
      </c>
      <c r="C10" s="80" t="s">
        <v>24</v>
      </c>
      <c r="D10" s="81"/>
      <c r="E10" s="81"/>
      <c r="F10" s="81"/>
      <c r="G10" s="81"/>
      <c r="H10" s="50"/>
      <c r="I10" s="7"/>
      <c r="J10" s="7"/>
      <c r="K10" s="52"/>
      <c r="L10" s="7"/>
      <c r="M10" s="21"/>
      <c r="N10" s="22"/>
    </row>
    <row r="11" spans="1:14" s="2" customFormat="1" ht="25.15" customHeight="1" x14ac:dyDescent="0.25">
      <c r="A11" s="6"/>
      <c r="B11" s="20">
        <v>3</v>
      </c>
      <c r="C11" s="80" t="s">
        <v>25</v>
      </c>
      <c r="D11" s="81"/>
      <c r="E11" s="81"/>
      <c r="F11" s="81"/>
      <c r="G11" s="81"/>
      <c r="H11" s="50"/>
      <c r="I11" s="7"/>
      <c r="J11" s="7"/>
      <c r="K11" s="52"/>
      <c r="L11" s="7"/>
      <c r="M11" s="21"/>
      <c r="N11" s="22"/>
    </row>
    <row r="12" spans="1:14" s="2" customFormat="1" ht="25.15" customHeight="1" x14ac:dyDescent="0.25">
      <c r="A12" s="6"/>
      <c r="B12" s="20">
        <v>4</v>
      </c>
      <c r="C12" s="23" t="s">
        <v>12</v>
      </c>
      <c r="D12" s="96"/>
      <c r="E12" s="96"/>
      <c r="F12" s="96"/>
      <c r="G12" s="25"/>
      <c r="H12" s="50"/>
      <c r="I12" s="7"/>
      <c r="J12" s="7"/>
      <c r="K12" s="52"/>
      <c r="L12" s="7"/>
      <c r="M12" s="21"/>
      <c r="N12" s="22"/>
    </row>
    <row r="13" spans="1:14" s="2" customFormat="1" ht="29.45" customHeight="1" x14ac:dyDescent="0.25">
      <c r="A13" s="6"/>
      <c r="B13" s="20">
        <v>5</v>
      </c>
      <c r="C13" s="26" t="s">
        <v>13</v>
      </c>
      <c r="D13" s="27"/>
      <c r="E13" s="27"/>
      <c r="F13" s="27"/>
      <c r="G13" s="28"/>
      <c r="H13" s="54">
        <f>SUM(H9:H12)</f>
        <v>0</v>
      </c>
      <c r="I13" s="29"/>
      <c r="J13" s="29"/>
      <c r="K13" s="55">
        <f>SUM(K9:K12)</f>
        <v>0</v>
      </c>
      <c r="L13" s="29"/>
      <c r="M13" s="30"/>
      <c r="N13" s="24"/>
    </row>
    <row r="14" spans="1:14" s="2" customFormat="1" ht="28.15" customHeight="1" x14ac:dyDescent="0.25">
      <c r="A14" s="6"/>
      <c r="B14" s="32" t="s">
        <v>14</v>
      </c>
      <c r="C14" s="33"/>
      <c r="D14" s="37"/>
      <c r="E14" s="33"/>
      <c r="F14" s="33"/>
      <c r="G14" s="34"/>
      <c r="H14" s="62" t="str">
        <f>IF(ISNUMBER($H$7),$H$7,"")</f>
        <v/>
      </c>
      <c r="I14" s="33"/>
      <c r="J14" s="34"/>
      <c r="K14" s="61" t="str">
        <f>IF(ISNUMBER($K$7),$K$7,"")</f>
        <v/>
      </c>
      <c r="L14" s="35"/>
      <c r="M14" s="36"/>
    </row>
    <row r="15" spans="1:14" s="45" customFormat="1" ht="4.5" customHeight="1" x14ac:dyDescent="0.25">
      <c r="A15" s="38"/>
      <c r="B15" s="39"/>
      <c r="C15" s="40"/>
      <c r="D15" s="40"/>
      <c r="E15" s="40"/>
      <c r="F15" s="40"/>
      <c r="G15" s="41"/>
      <c r="H15" s="46"/>
      <c r="I15" s="40"/>
      <c r="J15" s="41"/>
      <c r="K15" s="56"/>
      <c r="L15" s="43"/>
      <c r="M15" s="44"/>
    </row>
    <row r="16" spans="1:14" s="2" customFormat="1" ht="25.15" customHeight="1" x14ac:dyDescent="0.25">
      <c r="A16" s="6"/>
      <c r="B16" s="31">
        <v>6</v>
      </c>
      <c r="C16" s="80" t="s">
        <v>26</v>
      </c>
      <c r="D16" s="81"/>
      <c r="E16" s="81"/>
      <c r="F16" s="81"/>
      <c r="G16" s="81"/>
      <c r="H16" s="49"/>
      <c r="I16" s="7"/>
      <c r="J16" s="7"/>
      <c r="K16" s="49"/>
      <c r="L16" s="7"/>
      <c r="M16" s="21"/>
      <c r="N16" s="22"/>
    </row>
    <row r="17" spans="1:14" s="2" customFormat="1" ht="25.15" customHeight="1" x14ac:dyDescent="0.25">
      <c r="A17" s="6"/>
      <c r="B17" s="20">
        <v>7</v>
      </c>
      <c r="C17" s="80" t="s">
        <v>27</v>
      </c>
      <c r="D17" s="81"/>
      <c r="E17" s="81"/>
      <c r="F17" s="81"/>
      <c r="G17" s="81"/>
      <c r="H17" s="49"/>
      <c r="I17" s="7"/>
      <c r="J17" s="7"/>
      <c r="K17" s="49"/>
      <c r="L17" s="7"/>
      <c r="M17" s="21"/>
      <c r="N17" s="22"/>
    </row>
    <row r="18" spans="1:14" s="2" customFormat="1" ht="25.15" customHeight="1" x14ac:dyDescent="0.25">
      <c r="A18" s="6"/>
      <c r="B18" s="20">
        <v>8</v>
      </c>
      <c r="C18" s="99" t="s">
        <v>28</v>
      </c>
      <c r="D18" s="81"/>
      <c r="E18" s="81"/>
      <c r="F18" s="81"/>
      <c r="G18" s="100"/>
      <c r="H18" s="49"/>
      <c r="I18" s="7"/>
      <c r="J18" s="7"/>
      <c r="K18" s="49"/>
      <c r="L18" s="7"/>
      <c r="M18" s="21"/>
      <c r="N18" s="22"/>
    </row>
    <row r="19" spans="1:14" s="2" customFormat="1" ht="29.45" customHeight="1" x14ac:dyDescent="0.25">
      <c r="A19" s="6"/>
      <c r="B19" s="20">
        <v>9</v>
      </c>
      <c r="C19" s="26" t="s">
        <v>15</v>
      </c>
      <c r="D19" s="27"/>
      <c r="E19" s="27"/>
      <c r="F19" s="27"/>
      <c r="G19" s="28"/>
      <c r="H19" s="53">
        <f>SUM(H16:H18)</f>
        <v>0</v>
      </c>
      <c r="I19" s="29"/>
      <c r="J19" s="29"/>
      <c r="K19" s="57">
        <f>SUM(K16:K18)</f>
        <v>0</v>
      </c>
      <c r="L19" s="29"/>
      <c r="M19" s="30"/>
      <c r="N19" s="24"/>
    </row>
    <row r="20" spans="1:14" s="2" customFormat="1" ht="21" customHeight="1" x14ac:dyDescent="0.25">
      <c r="A20" s="6"/>
      <c r="B20" s="8"/>
      <c r="C20" s="8"/>
      <c r="D20" s="8"/>
      <c r="E20" s="8"/>
      <c r="F20" s="8"/>
      <c r="G20" s="8"/>
      <c r="H20" s="8"/>
      <c r="I20" s="8"/>
      <c r="J20" s="8"/>
      <c r="K20" s="8"/>
      <c r="L20" s="8"/>
      <c r="M20" s="8"/>
    </row>
    <row r="21" spans="1:14" s="2" customFormat="1" ht="28.15" customHeight="1" x14ac:dyDescent="0.25">
      <c r="A21" s="6"/>
      <c r="B21" s="32" t="s">
        <v>16</v>
      </c>
      <c r="C21" s="33"/>
      <c r="D21" s="33"/>
      <c r="E21" s="33"/>
      <c r="F21" s="33"/>
      <c r="G21" s="34"/>
      <c r="H21" s="61" t="str">
        <f>IF(ISNUMBER($H$7),$H$7,"")</f>
        <v/>
      </c>
      <c r="I21" s="33"/>
      <c r="J21" s="34"/>
      <c r="K21" s="62" t="str">
        <f>IF(ISNUMBER($K$7),$K$7,"")</f>
        <v/>
      </c>
      <c r="L21" s="35"/>
      <c r="M21" s="36"/>
    </row>
    <row r="22" spans="1:14" s="2" customFormat="1" ht="29.45" customHeight="1" x14ac:dyDescent="0.25">
      <c r="A22" s="6"/>
      <c r="B22" s="31"/>
      <c r="C22" s="101" t="s">
        <v>18</v>
      </c>
      <c r="D22" s="102"/>
      <c r="E22" s="102"/>
      <c r="F22" s="102"/>
      <c r="G22" s="102"/>
      <c r="H22" s="54">
        <f>$H$13</f>
        <v>0</v>
      </c>
      <c r="I22" s="7"/>
      <c r="J22" s="7"/>
      <c r="K22" s="55">
        <f>$K$13</f>
        <v>0</v>
      </c>
      <c r="L22" s="7"/>
      <c r="M22" s="21"/>
      <c r="N22" s="24"/>
    </row>
    <row r="23" spans="1:14" s="2" customFormat="1" ht="29.45" customHeight="1" x14ac:dyDescent="0.25">
      <c r="A23" s="6"/>
      <c r="B23" s="20"/>
      <c r="C23" s="103" t="s">
        <v>19</v>
      </c>
      <c r="D23" s="81"/>
      <c r="E23" s="81"/>
      <c r="F23" s="81"/>
      <c r="G23" s="81"/>
      <c r="H23" s="54">
        <f>$H$19</f>
        <v>0</v>
      </c>
      <c r="I23" s="7"/>
      <c r="J23" s="7"/>
      <c r="K23" s="55">
        <f>$K$19</f>
        <v>0</v>
      </c>
      <c r="L23" s="7"/>
      <c r="M23" s="21"/>
      <c r="N23" s="24"/>
    </row>
    <row r="24" spans="1:14" s="2" customFormat="1" ht="29.45" customHeight="1" x14ac:dyDescent="0.25">
      <c r="A24" s="6"/>
      <c r="B24" s="20"/>
      <c r="C24" s="104" t="s">
        <v>20</v>
      </c>
      <c r="D24" s="105"/>
      <c r="E24" s="105"/>
      <c r="F24" s="105"/>
      <c r="G24" s="105"/>
      <c r="H24" s="59" t="str">
        <f>IFERROR(H22/H23,"N/A")</f>
        <v>N/A</v>
      </c>
      <c r="I24" s="29"/>
      <c r="J24" s="29"/>
      <c r="K24" s="59" t="str">
        <f>IFERROR(K22/K23,"N/A")</f>
        <v>N/A</v>
      </c>
      <c r="L24" s="29"/>
      <c r="M24" s="30"/>
      <c r="N24" s="24"/>
    </row>
    <row r="25" spans="1:14" s="2" customFormat="1" ht="21" customHeight="1" x14ac:dyDescent="0.25">
      <c r="A25" s="6"/>
      <c r="B25" s="8"/>
      <c r="C25" s="8"/>
      <c r="D25" s="8"/>
      <c r="E25" s="8"/>
      <c r="F25" s="8"/>
      <c r="G25" s="8"/>
      <c r="H25" s="58"/>
      <c r="I25" s="8"/>
      <c r="J25" s="8"/>
      <c r="K25" s="58"/>
      <c r="L25" s="8"/>
      <c r="M25" s="8"/>
    </row>
    <row r="26" spans="1:14" s="2" customFormat="1" ht="28.15" customHeight="1" x14ac:dyDescent="0.25">
      <c r="A26" s="6"/>
      <c r="B26" s="32" t="s">
        <v>17</v>
      </c>
      <c r="C26" s="33"/>
      <c r="D26" s="33"/>
      <c r="E26" s="33"/>
      <c r="F26" s="33"/>
      <c r="G26" s="34"/>
      <c r="H26" s="61" t="str">
        <f>IF(ISNUMBER($H$7),$H$7,"")</f>
        <v/>
      </c>
      <c r="I26" s="33"/>
      <c r="J26" s="34"/>
      <c r="K26" s="61" t="str">
        <f>IF(ISNUMBER($K$7),$K$7,"")</f>
        <v/>
      </c>
      <c r="L26" s="35"/>
      <c r="M26" s="36"/>
    </row>
    <row r="27" spans="1:14" s="2" customFormat="1" ht="29.45" customHeight="1" x14ac:dyDescent="0.25">
      <c r="A27" s="6"/>
      <c r="B27" s="31"/>
      <c r="C27" s="106" t="s">
        <v>22</v>
      </c>
      <c r="D27" s="107"/>
      <c r="E27" s="107"/>
      <c r="F27" s="107"/>
      <c r="G27" s="107"/>
      <c r="H27" s="54">
        <f>$H$9+$H$10+$H$12</f>
        <v>0</v>
      </c>
      <c r="I27" s="7"/>
      <c r="J27" s="7"/>
      <c r="K27" s="55">
        <f>$K$9+$K$10+$K$12</f>
        <v>0</v>
      </c>
      <c r="L27" s="7"/>
      <c r="M27" s="21"/>
      <c r="N27" s="24"/>
    </row>
    <row r="28" spans="1:14" s="2" customFormat="1" ht="29.45" customHeight="1" x14ac:dyDescent="0.25">
      <c r="A28" s="6"/>
      <c r="B28" s="20"/>
      <c r="C28" s="103" t="s">
        <v>19</v>
      </c>
      <c r="D28" s="81"/>
      <c r="E28" s="81"/>
      <c r="F28" s="81"/>
      <c r="G28" s="81"/>
      <c r="H28" s="54">
        <f>H19</f>
        <v>0</v>
      </c>
      <c r="I28" s="7"/>
      <c r="J28" s="7"/>
      <c r="K28" s="55">
        <f>K19</f>
        <v>0</v>
      </c>
      <c r="L28" s="7"/>
      <c r="M28" s="21"/>
      <c r="N28" s="24"/>
    </row>
    <row r="29" spans="1:14" s="2" customFormat="1" ht="29.45" customHeight="1" x14ac:dyDescent="0.25">
      <c r="A29" s="6"/>
      <c r="B29" s="20"/>
      <c r="C29" s="94" t="s">
        <v>21</v>
      </c>
      <c r="D29" s="95"/>
      <c r="E29" s="95"/>
      <c r="F29" s="95"/>
      <c r="G29" s="95"/>
      <c r="H29" s="59" t="str">
        <f>IFERROR(H27/H28,"N/A")</f>
        <v>N/A</v>
      </c>
      <c r="I29" s="29"/>
      <c r="J29" s="29"/>
      <c r="K29" s="59" t="str">
        <f>IFERROR(K27/K28,"N/A")</f>
        <v>N/A</v>
      </c>
      <c r="L29" s="29"/>
      <c r="M29" s="30"/>
      <c r="N29" s="24"/>
    </row>
    <row r="30" spans="1:14" s="2" customFormat="1" ht="13.9" customHeight="1" x14ac:dyDescent="0.25">
      <c r="A30" s="6"/>
      <c r="B30" s="8"/>
      <c r="C30" s="8"/>
      <c r="D30" s="8"/>
      <c r="E30" s="8"/>
      <c r="F30" s="8"/>
      <c r="G30" s="8"/>
      <c r="H30" s="8"/>
      <c r="I30" s="8"/>
      <c r="J30" s="8"/>
      <c r="K30" s="8"/>
      <c r="L30" s="8"/>
      <c r="M30" s="8"/>
    </row>
    <row r="31" spans="1:14" ht="9.6" customHeight="1" x14ac:dyDescent="0.25">
      <c r="A31" s="5"/>
      <c r="B31" s="5"/>
      <c r="C31" s="5"/>
      <c r="D31" s="5"/>
      <c r="E31" s="5"/>
      <c r="F31" s="5"/>
      <c r="G31" s="5"/>
      <c r="H31" s="5"/>
      <c r="I31" s="5"/>
      <c r="J31" s="5"/>
      <c r="K31" s="5"/>
      <c r="L31" s="5"/>
      <c r="M31" s="5"/>
    </row>
    <row r="32" spans="1:14" s="2" customFormat="1" ht="24" customHeight="1" x14ac:dyDescent="0.25">
      <c r="A32" s="6"/>
      <c r="B32" s="9"/>
      <c r="C32" s="10" t="s">
        <v>33</v>
      </c>
      <c r="D32" s="11"/>
      <c r="E32" s="11"/>
      <c r="F32" s="11"/>
      <c r="G32" s="11"/>
      <c r="H32" s="11"/>
      <c r="I32" s="11"/>
      <c r="J32" s="11"/>
      <c r="K32" s="11"/>
      <c r="L32" s="65"/>
      <c r="M32" s="12"/>
    </row>
    <row r="33" spans="1:13" s="3" customFormat="1" ht="22.15" customHeight="1" x14ac:dyDescent="0.25">
      <c r="A33" s="13"/>
      <c r="B33" s="14"/>
      <c r="C33" s="85"/>
      <c r="D33" s="86"/>
      <c r="E33" s="86"/>
      <c r="F33" s="86"/>
      <c r="G33" s="86"/>
      <c r="H33" s="86"/>
      <c r="I33" s="86"/>
      <c r="J33" s="86"/>
      <c r="K33" s="86"/>
      <c r="L33" s="87"/>
      <c r="M33" s="19" t="s">
        <v>6</v>
      </c>
    </row>
    <row r="34" spans="1:13" s="3" customFormat="1" ht="22.15" customHeight="1" x14ac:dyDescent="0.25">
      <c r="A34" s="13"/>
      <c r="B34" s="14"/>
      <c r="C34" s="88"/>
      <c r="D34" s="89"/>
      <c r="E34" s="89"/>
      <c r="F34" s="89"/>
      <c r="G34" s="89"/>
      <c r="H34" s="89"/>
      <c r="I34" s="89"/>
      <c r="J34" s="89"/>
      <c r="K34" s="89"/>
      <c r="L34" s="90"/>
      <c r="M34" s="19" t="s">
        <v>6</v>
      </c>
    </row>
    <row r="35" spans="1:13" s="3" customFormat="1" ht="22.15" customHeight="1" x14ac:dyDescent="0.25">
      <c r="A35" s="13"/>
      <c r="B35" s="14"/>
      <c r="C35" s="88"/>
      <c r="D35" s="89"/>
      <c r="E35" s="89"/>
      <c r="F35" s="89"/>
      <c r="G35" s="89"/>
      <c r="H35" s="89"/>
      <c r="I35" s="89"/>
      <c r="J35" s="89"/>
      <c r="K35" s="89"/>
      <c r="L35" s="90"/>
      <c r="M35" s="19" t="s">
        <v>6</v>
      </c>
    </row>
    <row r="36" spans="1:13" s="3" customFormat="1" ht="22.15" customHeight="1" x14ac:dyDescent="0.25">
      <c r="A36" s="13"/>
      <c r="B36" s="14"/>
      <c r="C36" s="88"/>
      <c r="D36" s="89"/>
      <c r="E36" s="89"/>
      <c r="F36" s="89"/>
      <c r="G36" s="89"/>
      <c r="H36" s="89"/>
      <c r="I36" s="89"/>
      <c r="J36" s="89"/>
      <c r="K36" s="89"/>
      <c r="L36" s="90"/>
      <c r="M36" s="19" t="s">
        <v>6</v>
      </c>
    </row>
    <row r="37" spans="1:13" s="3" customFormat="1" ht="22.15" customHeight="1" x14ac:dyDescent="0.25">
      <c r="A37" s="13"/>
      <c r="B37" s="14"/>
      <c r="C37" s="88"/>
      <c r="D37" s="89"/>
      <c r="E37" s="89"/>
      <c r="F37" s="89"/>
      <c r="G37" s="89"/>
      <c r="H37" s="89"/>
      <c r="I37" s="89"/>
      <c r="J37" s="89"/>
      <c r="K37" s="89"/>
      <c r="L37" s="90"/>
      <c r="M37" s="19" t="s">
        <v>6</v>
      </c>
    </row>
    <row r="38" spans="1:13" s="3" customFormat="1" ht="22.15" customHeight="1" x14ac:dyDescent="0.25">
      <c r="A38" s="13"/>
      <c r="B38" s="14"/>
      <c r="C38" s="88"/>
      <c r="D38" s="89"/>
      <c r="E38" s="89"/>
      <c r="F38" s="89"/>
      <c r="G38" s="89"/>
      <c r="H38" s="89"/>
      <c r="I38" s="89"/>
      <c r="J38" s="89"/>
      <c r="K38" s="89"/>
      <c r="L38" s="90"/>
      <c r="M38" s="19" t="s">
        <v>6</v>
      </c>
    </row>
    <row r="39" spans="1:13" s="3" customFormat="1" ht="22.15" customHeight="1" x14ac:dyDescent="0.25">
      <c r="A39" s="13"/>
      <c r="B39" s="14"/>
      <c r="C39" s="88"/>
      <c r="D39" s="89"/>
      <c r="E39" s="89"/>
      <c r="F39" s="89"/>
      <c r="G39" s="89"/>
      <c r="H39" s="89"/>
      <c r="I39" s="89"/>
      <c r="J39" s="89"/>
      <c r="K39" s="89"/>
      <c r="L39" s="90"/>
      <c r="M39" s="19" t="s">
        <v>6</v>
      </c>
    </row>
    <row r="40" spans="1:13" s="3" customFormat="1" ht="24" customHeight="1" x14ac:dyDescent="0.25">
      <c r="A40" s="13"/>
      <c r="B40" s="14"/>
      <c r="C40" s="91"/>
      <c r="D40" s="92"/>
      <c r="E40" s="92"/>
      <c r="F40" s="92"/>
      <c r="G40" s="92"/>
      <c r="H40" s="92"/>
      <c r="I40" s="92"/>
      <c r="J40" s="92"/>
      <c r="K40" s="92"/>
      <c r="L40" s="93"/>
      <c r="M40" s="19" t="s">
        <v>6</v>
      </c>
    </row>
    <row r="41" spans="1:13" ht="21.6" customHeight="1" x14ac:dyDescent="0.25">
      <c r="A41" s="5"/>
      <c r="B41" s="15"/>
      <c r="C41" s="16"/>
      <c r="D41" s="16"/>
      <c r="E41" s="16"/>
      <c r="F41" s="16"/>
      <c r="G41" s="16"/>
      <c r="H41" s="16"/>
      <c r="I41" s="16"/>
      <c r="J41" s="16"/>
      <c r="K41" s="16"/>
      <c r="L41" s="16"/>
      <c r="M41" s="17"/>
    </row>
  </sheetData>
  <sheetProtection algorithmName="SHA-512" hashValue="SwLo+CadviGUdBloJwZKfLFk+BL7W6oglVO2rN80PL4SD1e+lJHW9/Jbs5T4EsWDyATh5kPZfNyTaw5SFhGpxA==" saltValue="Hl1ckNmxvjBmnl+IGXK0xg==" spinCount="100000" sheet="1" objects="1" scenarios="1"/>
  <mergeCells count="18">
    <mergeCell ref="C33:L40"/>
    <mergeCell ref="C29:G29"/>
    <mergeCell ref="D12:F12"/>
    <mergeCell ref="B5:C5"/>
    <mergeCell ref="C16:G16"/>
    <mergeCell ref="C17:G17"/>
    <mergeCell ref="C11:G11"/>
    <mergeCell ref="C18:G18"/>
    <mergeCell ref="C22:G22"/>
    <mergeCell ref="C23:G23"/>
    <mergeCell ref="C24:G24"/>
    <mergeCell ref="C28:G28"/>
    <mergeCell ref="C27:G27"/>
    <mergeCell ref="B3:M3"/>
    <mergeCell ref="L5:M5"/>
    <mergeCell ref="C9:G9"/>
    <mergeCell ref="C10:G10"/>
    <mergeCell ref="F5:H5"/>
  </mergeCells>
  <dataValidations count="9">
    <dataValidation type="list" allowBlank="1" showInputMessage="1" showErrorMessage="1" sqref="H8 K8" xr:uid="{00000000-0002-0000-0000-000000000000}">
      <formula1>LKP_YEAR</formula1>
    </dataValidation>
    <dataValidation type="textLength" allowBlank="1" showInputMessage="1" showErrorMessage="1" errorTitle="Too Many Characters..." error="You have entered too many characters in this text field.  The maximum number of characters allowed is 50.  Please re-enter." sqref="D12:F12 D5:F5" xr:uid="{00000000-0002-0000-0000-000001000000}">
      <formula1>0</formula1>
      <formula2>50</formula2>
    </dataValidation>
    <dataValidation allowBlank="1" errorTitle="Too Many Characters..." error="You have entered too many characters in this text field.  The maximum number of characters allowed is 50.  Please re-enter." sqref="D13:F13 G12:G13 D19:G19" xr:uid="{00000000-0002-0000-0000-000002000000}"/>
    <dataValidation allowBlank="1" errorTitle="Non-Numeric Entry" error="You have entered a non-numeric value in the current cell.  This is not allowed.  Please enter a number or leave the cell blank to continue." sqref="K13 H13 K19 H19 K22:K24 H22:H24 K27:K29 H27:H29" xr:uid="{00000000-0002-0000-0000-000003000000}"/>
    <dataValidation allowBlank="1" sqref="K14:K15 H14:H15 H21 K21 H26 K26" xr:uid="{00000000-0002-0000-0000-000004000000}"/>
    <dataValidation type="custom" allowBlank="1" showErrorMessage="1" errorTitle="Non-Numeric Entry" error="You have entered a non-numeric value in the current cell.  This is not allowed.  Please enter a number or leave the cell blank to continue." sqref="H9:H12 K9:K12 H16:H18 K16:K18" xr:uid="{00000000-0002-0000-0000-000005000000}">
      <formula1>IF(ISNUMBER(H9),TRUE,FALSE)</formula1>
    </dataValidation>
    <dataValidation allowBlank="1" showErrorMessage="1" errorTitle="Too Many Characters" error="You have entered too many characters in this text field.  The maximum number of characters allowed is 186.  Please re-enter." sqref="C33:L40" xr:uid="{00000000-0002-0000-0000-000006000000}"/>
    <dataValidation type="list" allowBlank="1" showErrorMessage="1" errorTitle="Invalid Date..." error="You have entered an invalid date.  Please select a year from the drop-down list.  If unable to do so, please delete the value you entered, and then select a new value." sqref="H7 K7" xr:uid="{00000000-0002-0000-0000-000007000000}">
      <formula1>LKP_YEAR</formula1>
    </dataValidation>
    <dataValidation type="date" operator="greaterThan" allowBlank="1" showInputMessage="1" showErrorMessage="1" errorTitle="Invalid Date..." error="Please enter a valid date into this cell." sqref="K5" xr:uid="{00000000-0002-0000-0000-000008000000}">
      <formula1>1</formula1>
    </dataValidation>
  </dataValidations>
  <pageMargins left="0.7" right="0.7" top="0.75" bottom="0.75" header="0.3" footer="0.3"/>
  <pageSetup scale="54"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14"/>
  <sheetViews>
    <sheetView workbookViewId="0">
      <selection activeCell="H2" sqref="H2"/>
    </sheetView>
  </sheetViews>
  <sheetFormatPr defaultRowHeight="15" x14ac:dyDescent="0.25"/>
  <cols>
    <col min="1" max="1" width="11.7109375" bestFit="1" customWidth="1"/>
    <col min="3" max="3" width="14.28515625" bestFit="1" customWidth="1"/>
    <col min="4" max="4" width="12.28515625" bestFit="1" customWidth="1"/>
    <col min="5" max="5" width="19.28515625" bestFit="1" customWidth="1"/>
    <col min="6" max="6" width="14.7109375" bestFit="1" customWidth="1"/>
    <col min="8" max="8" width="23.5703125" bestFit="1" customWidth="1"/>
  </cols>
  <sheetData>
    <row r="1" spans="1:8" x14ac:dyDescent="0.25">
      <c r="A1" t="s">
        <v>7</v>
      </c>
      <c r="B1" s="5" t="s">
        <v>0</v>
      </c>
      <c r="C1" s="5" t="s">
        <v>3</v>
      </c>
      <c r="D1" s="5" t="s">
        <v>4</v>
      </c>
      <c r="E1" s="5" t="s">
        <v>1</v>
      </c>
      <c r="F1" s="5" t="s">
        <v>2</v>
      </c>
      <c r="H1" t="s">
        <v>5</v>
      </c>
    </row>
    <row r="2" spans="1:8" x14ac:dyDescent="0.25">
      <c r="A2" t="b">
        <v>1</v>
      </c>
      <c r="B2" s="5">
        <v>2019</v>
      </c>
      <c r="C2" s="5">
        <v>0.26</v>
      </c>
      <c r="D2" s="5">
        <v>0</v>
      </c>
      <c r="E2" s="5" t="b">
        <v>1</v>
      </c>
      <c r="F2" s="5" t="b">
        <v>1</v>
      </c>
      <c r="H2" s="18"/>
    </row>
    <row r="3" spans="1:8" x14ac:dyDescent="0.25">
      <c r="B3" s="5">
        <v>2020</v>
      </c>
      <c r="C3" s="5">
        <v>0.27</v>
      </c>
      <c r="D3" s="5">
        <v>1</v>
      </c>
      <c r="E3" s="5"/>
      <c r="F3" s="5"/>
    </row>
    <row r="4" spans="1:8" x14ac:dyDescent="0.25">
      <c r="B4" s="5">
        <v>2021</v>
      </c>
      <c r="C4" s="5">
        <v>0.26</v>
      </c>
      <c r="D4" s="5">
        <v>2</v>
      </c>
      <c r="E4" s="5"/>
      <c r="F4" s="5"/>
    </row>
    <row r="5" spans="1:8" x14ac:dyDescent="0.25">
      <c r="B5" s="5">
        <v>2022</v>
      </c>
      <c r="C5" s="5">
        <v>0.26</v>
      </c>
      <c r="D5" s="5">
        <v>3</v>
      </c>
      <c r="E5" s="5"/>
      <c r="F5" s="5"/>
    </row>
    <row r="6" spans="1:8" x14ac:dyDescent="0.25">
      <c r="B6" s="5"/>
      <c r="C6" s="5"/>
      <c r="D6" s="5">
        <v>4</v>
      </c>
      <c r="E6" s="5"/>
      <c r="F6" s="5"/>
    </row>
    <row r="7" spans="1:8" x14ac:dyDescent="0.25">
      <c r="B7" s="5"/>
      <c r="C7" s="5"/>
      <c r="D7" s="5">
        <v>5</v>
      </c>
      <c r="E7" s="5"/>
      <c r="F7" s="5"/>
    </row>
    <row r="8" spans="1:8" x14ac:dyDescent="0.25">
      <c r="B8" s="5"/>
      <c r="C8" s="5"/>
      <c r="D8" s="5">
        <v>6</v>
      </c>
      <c r="E8" s="5"/>
      <c r="F8" s="5"/>
    </row>
    <row r="9" spans="1:8" x14ac:dyDescent="0.25">
      <c r="B9" s="5"/>
      <c r="C9" s="5"/>
      <c r="D9" s="5">
        <v>7</v>
      </c>
      <c r="E9" s="5"/>
      <c r="F9" s="5"/>
    </row>
    <row r="10" spans="1:8" x14ac:dyDescent="0.25">
      <c r="B10" s="5"/>
      <c r="C10" s="5"/>
      <c r="D10" s="5">
        <v>8</v>
      </c>
      <c r="E10" s="5"/>
      <c r="F10" s="5"/>
    </row>
    <row r="11" spans="1:8" x14ac:dyDescent="0.25">
      <c r="B11" s="5"/>
      <c r="C11" s="5"/>
      <c r="D11" s="5">
        <v>9</v>
      </c>
      <c r="E11" s="5"/>
      <c r="F11" s="5"/>
    </row>
    <row r="12" spans="1:8" x14ac:dyDescent="0.25">
      <c r="B12" s="5"/>
      <c r="C12" s="5"/>
      <c r="D12" s="5">
        <v>10</v>
      </c>
      <c r="E12" s="5"/>
      <c r="F12" s="5"/>
    </row>
    <row r="13" spans="1:8" x14ac:dyDescent="0.25">
      <c r="B13" s="5"/>
      <c r="C13" s="5"/>
      <c r="D13" s="5">
        <v>11</v>
      </c>
      <c r="E13" s="5"/>
      <c r="F13" s="5"/>
    </row>
    <row r="14" spans="1:8" x14ac:dyDescent="0.25">
      <c r="B14" s="5"/>
      <c r="C14" s="5"/>
      <c r="D14" s="5">
        <v>12</v>
      </c>
      <c r="E14" s="5"/>
      <c r="F14" s="5"/>
    </row>
  </sheetData>
  <dataValidations count="1">
    <dataValidation type="list" showInputMessage="1" showErrorMessage="1" sqref="H2" xr:uid="{00000000-0002-0000-0100-000000000000}">
      <formula1>LKP_MONTH</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Liquidity</vt:lpstr>
      <vt:lpstr>LOOKUPS</vt:lpstr>
      <vt:lpstr>Liquidity!Print_Area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Mortgage Guaranty Insurance Corp. (MGIC)</dc:creator>
  <cp:lastModifiedBy>Lisa Curry</cp:lastModifiedBy>
  <cp:lastPrinted>2019-02-08T21:05:12Z</cp:lastPrinted>
  <dcterms:created xsi:type="dcterms:W3CDTF">2018-10-01T05:44:54Z</dcterms:created>
  <dcterms:modified xsi:type="dcterms:W3CDTF">2022-02-28T21:28:30Z</dcterms:modified>
</cp:coreProperties>
</file>